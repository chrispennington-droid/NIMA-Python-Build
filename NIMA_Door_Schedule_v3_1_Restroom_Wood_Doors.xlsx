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bd307899e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loyment Summary" sheetId="1" r:id="R409d564c7b5a42fd"/>
    <x:sheet xmlns:r="http://schemas.openxmlformats.org/officeDocument/2006/relationships" name="Door Schedule Deploy" sheetId="2" r:id="R4304492551284ec1"/>
    <x:sheet xmlns:r="http://schemas.openxmlformats.org/officeDocument/2006/relationships" name="Reference + Verify" sheetId="3" r:id="R9bc8901c355b47fc"/>
    <x:sheet xmlns:r="http://schemas.openxmlformats.org/officeDocument/2006/relationships" name="QA Handing Flags" sheetId="4" r:id="R1899fc6ce4a94c37"/>
    <x:sheet xmlns:r="http://schemas.openxmlformats.org/officeDocument/2006/relationships" name="Rules + Assumptions" sheetId="5" r:id="Rc262447714344f41"/>
    <x:sheet xmlns:r="http://schemas.openxmlformats.org/officeDocument/2006/relationships" name="Source Register" sheetId="6" r:id="Raa29f9f9f5b9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sz val="10"/>
      <x:color rgb="1F2937"/>
      <x:name val="Aptos"/>
    </x:font>
    <x:font>
      <x:b/>
      <x:sz val="10"/>
      <x:color rgb="111827"/>
      <x:name val="Aptos"/>
    </x:font>
    <x:font>
      <x:b/>
      <x:sz val="16"/>
      <x:color rgb="0F172A"/>
      <x:name val="Aptos"/>
    </x:font>
    <x:font>
      <x:i/>
      <x:sz val="11"/>
      <x:color rgb="374151"/>
      <x:name val="Aptos"/>
    </x:font>
    <x:font>
      <x:b/>
      <x:sz val="11"/>
      <x:color rgb="064E3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D9EAF7"/>
      </x:patternFill>
    </x:fill>
    <x:fill>
      <x:patternFill patternType="solid">
        <x:fgColor rgb="ECFDF5"/>
      </x:patternFill>
    </x:fill>
    <x:fill>
      <x:patternFill patternType="solid">
        <x:fgColor rgb="F8FAFC"/>
      </x:patternFill>
    </x:fill>
    <x:fill>
      <x:patternFill patternType="solid">
        <x:fgColor rgb="FEF3C7"/>
      </x:patternFill>
    </x:fill>
    <x:fill>
      <x:patternFill patternType="solid">
        <x:fgColor rgb="FFF7ED"/>
      </x:patternFill>
    </x:fill>
  </x:fills>
  <x:borders count="38">
    <x:border/>
    <x:border/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CBD5E1"/>
      </x:left>
      <x:right style="thin">
        <x:color rgb="E5E7EB"/>
      </x:right>
      <x:top style="thin">
        <x:color rgb="CBD5E1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CBD5E1"/>
      </x:top>
      <x:bottom style="thin">
        <x:color rgb="CBD5E1"/>
      </x:bottom>
    </x:border>
    <x:border>
      <x:left style="thin">
        <x:color rgb="E5E7EB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E5E7EB"/>
      </x:right>
      <x:top style="thin">
        <x:color rgb="CBD5E1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CBD5E1"/>
      </x:top>
      <x:bottom style="thin">
        <x:color rgb="CBD5E1"/>
      </x:bottom>
    </x:border>
    <x:border>
      <x:left style="thin">
        <x:color rgb="E5E7EB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A7F3D0"/>
      </x:left>
      <x:right style="thin">
        <x:color rgb="E5E7EB"/>
      </x:right>
      <x:top style="thin">
        <x:color rgb="A7F3D0"/>
      </x:top>
      <x:bottom style="thin">
        <x:color rgb="A7F3D0"/>
      </x:bottom>
    </x:border>
    <x:border>
      <x:left style="thin">
        <x:color rgb="E5E7EB"/>
      </x:left>
      <x:right style="thin">
        <x:color rgb="E5E7EB"/>
      </x:right>
      <x:top style="thin">
        <x:color rgb="A7F3D0"/>
      </x:top>
      <x:bottom style="thin">
        <x:color rgb="A7F3D0"/>
      </x:bottom>
    </x:border>
    <x:border>
      <x:left style="thin">
        <x:color rgb="E5E7EB"/>
      </x:left>
      <x:right style="thin">
        <x:color rgb="A7F3D0"/>
      </x:right>
      <x:top style="thin">
        <x:color rgb="A7F3D0"/>
      </x:top>
      <x:bottom style="thin">
        <x:color rgb="A7F3D0"/>
      </x:bottom>
    </x:border>
    <x:border>
      <x:left style="thin">
        <x:color rgb="A7F3D0"/>
      </x:left>
      <x:right style="thin">
        <x:color rgb="E5E7EB"/>
      </x:right>
      <x:top style="thin">
        <x:color rgb="A7F3D0"/>
      </x:top>
      <x:bottom style="thin">
        <x:color rgb="A7F3D0"/>
      </x:bottom>
    </x:border>
    <x:border>
      <x:left style="thin">
        <x:color rgb="E5E7EB"/>
      </x:left>
      <x:right style="thin">
        <x:color rgb="E5E7EB"/>
      </x:right>
      <x:top style="thin">
        <x:color rgb="A7F3D0"/>
      </x:top>
      <x:bottom style="thin">
        <x:color rgb="A7F3D0"/>
      </x:bottom>
    </x:border>
    <x:border>
      <x:left style="thin">
        <x:color rgb="E5E7EB"/>
      </x:left>
      <x:right style="thin">
        <x:color rgb="A7F3D0"/>
      </x:right>
      <x:top style="thin">
        <x:color rgb="A7F3D0"/>
      </x:top>
      <x:bottom style="thin">
        <x:color rgb="A7F3D0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20" xfId="0" applyNumberFormat="1" applyFont="1" applyFill="1" applyBorder="1" applyAlignment="1">
      <x:alignment vertical="top" wrapText="1"/>
    </x:xf>
    <x:xf numFmtId="0" fontId="2" fillId="2" borderId="21" xfId="0" applyNumberFormat="1" applyFont="1" applyFill="1" applyBorder="1" applyAlignment="1">
      <x:alignment vertical="top" wrapText="1"/>
    </x:xf>
    <x:xf numFmtId="0" fontId="2" fillId="2" borderId="22" xfId="0" applyNumberFormat="1" applyFont="1" applyFill="1" applyBorder="1" applyAlignment="1">
      <x:alignment vertical="top" wrapText="1"/>
    </x:xf>
    <x:xf numFmtId="0" fontId="2" fillId="2" borderId="20" xfId="0" applyNumberFormat="1" applyFont="1" applyFill="1" applyBorder="1" applyAlignment="1">
      <x:alignment horizontal="center" vertical="top" wrapText="1"/>
    </x:xf>
    <x:xf numFmtId="0" fontId="2" fillId="2" borderId="21" xfId="0" applyNumberFormat="1" applyFont="1" applyFill="1" applyBorder="1" applyAlignment="1">
      <x:alignment horizontal="center" vertical="top" wrapText="1"/>
    </x:xf>
    <x:xf numFmtId="0" fontId="2" fillId="2" borderId="22" xfId="0" applyNumberFormat="1" applyFont="1" applyFill="1" applyBorder="1" applyAlignment="1">
      <x:alignment horizontal="center" vertical="top" wrapText="1"/>
    </x:xf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23" xfId="0" applyNumberFormat="1" applyFont="1" applyFill="1" applyBorder="1" applyAlignment="1">
      <x:alignment vertical="top" wrapText="1"/>
    </x:xf>
    <x:xf numFmtId="0" fontId="2" fillId="2" borderId="24" xfId="0" applyNumberFormat="1" applyFont="1" applyFill="1" applyBorder="1" applyAlignment="1">
      <x:alignment vertical="top" wrapText="1"/>
    </x:xf>
    <x:xf numFmtId="0" fontId="2" fillId="2" borderId="25" xfId="0" applyNumberFormat="1" applyFont="1" applyFill="1" applyBorder="1" applyAlignment="1">
      <x:alignment vertical="top" wrapText="1"/>
    </x:xf>
    <x:xf numFmtId="0" fontId="2" fillId="2" borderId="23" xfId="0" applyNumberFormat="1" applyFont="1" applyFill="1" applyBorder="1" applyAlignment="1">
      <x:alignment horizontal="center" vertical="top" wrapText="1"/>
    </x:xf>
    <x:xf numFmtId="0" fontId="2" fillId="2" borderId="24" xfId="0" applyNumberFormat="1" applyFont="1" applyFill="1" applyBorder="1" applyAlignment="1">
      <x:alignment horizontal="center" vertical="top" wrapText="1"/>
    </x:xf>
    <x:xf numFmtId="0" fontId="2" fillId="2" borderId="25" xfId="0" applyNumberFormat="1" applyFont="1" applyFill="1" applyBorder="1" applyAlignment="1">
      <x:alignment horizontal="center" vertical="top" wrapText="1"/>
    </x:xf>
    <x:xf numFmtId="0" fontId="2" fillId="2" borderId="23" xfId="0" applyNumberFormat="1" applyFont="1" applyFill="1" applyBorder="1" applyAlignment="1">
      <x:alignment horizontal="center" vertical="center" wrapText="1"/>
    </x:xf>
    <x:xf numFmtId="0" fontId="2" fillId="2" borderId="24" xfId="0" applyNumberFormat="1" applyFont="1" applyFill="1" applyBorder="1" applyAlignment="1">
      <x:alignment horizontal="center" vertical="center" wrapText="1"/>
    </x:xf>
    <x:xf numFmtId="0" fontId="2" fillId="2" borderId="2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6" xfId="0" applyNumberFormat="1" applyFont="1" applyFill="1" applyBorder="1"/>
    <x:xf numFmtId="0" fontId="3" fillId="3" borderId="27" xfId="0" applyNumberFormat="1" applyFont="1" applyFill="1" applyBorder="1"/>
    <x:xf numFmtId="0" fontId="3" fillId="3" borderId="28" xfId="0" applyNumberFormat="1" applyFont="1" applyFill="1" applyBorder="1"/>
    <x:xf numFmtId="0" fontId="3" fillId="3" borderId="26" xfId="0" applyNumberFormat="1" applyFont="1" applyFill="1" applyBorder="1" applyAlignment="1">
      <x:alignment horizontal="left"/>
    </x:xf>
    <x:xf numFmtId="0" fontId="3" fillId="3" borderId="27" xfId="0" applyNumberFormat="1" applyFont="1" applyFill="1" applyBorder="1" applyAlignment="1">
      <x:alignment horizontal="left"/>
    </x:xf>
    <x:xf numFmtId="0" fontId="3" fillId="3" borderId="28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29" xfId="0" applyNumberFormat="1" applyFont="1" applyFill="1" applyBorder="1"/>
    <x:xf numFmtId="0" fontId="3" fillId="3" borderId="30" xfId="0" applyNumberFormat="1" applyFont="1" applyFill="1" applyBorder="1"/>
    <x:xf numFmtId="0" fontId="3" fillId="3" borderId="31" xfId="0" applyNumberFormat="1" applyFont="1" applyFill="1" applyBorder="1"/>
    <x:xf numFmtId="0" fontId="3" fillId="3" borderId="29" xfId="0" applyNumberFormat="1" applyFont="1" applyFill="1" applyBorder="1" applyAlignment="1">
      <x:alignment horizontal="left"/>
    </x:xf>
    <x:xf numFmtId="0" fontId="3" fillId="3" borderId="30" xfId="0" applyNumberFormat="1" applyFont="1" applyFill="1" applyBorder="1" applyAlignment="1">
      <x:alignment horizontal="left"/>
    </x:xf>
    <x:xf numFmtId="0" fontId="3" fillId="3" borderId="31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6" xfId="0" applyNumberFormat="1" applyFont="1" applyFill="1" applyBorder="1"/>
    <x:xf numFmtId="0" fontId="2" fillId="2" borderId="27" xfId="0" applyNumberFormat="1" applyFont="1" applyFill="1" applyBorder="1"/>
    <x:xf numFmtId="0" fontId="2" fillId="2" borderId="28" xfId="0" applyNumberFormat="1" applyFont="1" applyFill="1" applyBorder="1"/>
    <x:xf numFmtId="0" fontId="2" fillId="2" borderId="26" xfId="0" applyNumberFormat="1" applyFont="1" applyFill="1" applyBorder="1" applyAlignment="1">
      <x:alignment horizontal="center"/>
    </x:xf>
    <x:xf numFmtId="0" fontId="2" fillId="2" borderId="27" xfId="0" applyNumberFormat="1" applyFont="1" applyFill="1" applyBorder="1" applyAlignment="1">
      <x:alignment horizontal="center"/>
    </x:xf>
    <x:xf numFmtId="0" fontId="2" fillId="2" borderId="28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29" xfId="0" applyNumberFormat="1" applyFont="1" applyFill="1" applyBorder="1"/>
    <x:xf numFmtId="0" fontId="2" fillId="2" borderId="30" xfId="0" applyNumberFormat="1" applyFont="1" applyFill="1" applyBorder="1"/>
    <x:xf numFmtId="0" fontId="2" fillId="2" borderId="31" xfId="0" applyNumberFormat="1" applyFont="1" applyFill="1" applyBorder="1"/>
    <x:xf numFmtId="0" fontId="2" fillId="2" borderId="29" xfId="0" applyNumberFormat="1" applyFont="1" applyFill="1" applyBorder="1" applyAlignment="1">
      <x:alignment horizontal="center"/>
    </x:xf>
    <x:xf numFmtId="0" fontId="2" fillId="2" borderId="30" xfId="0" applyNumberFormat="1" applyFont="1" applyFill="1" applyBorder="1" applyAlignment="1">
      <x:alignment horizontal="center"/>
    </x:xf>
    <x:xf numFmtId="0" fontId="2" fillId="2" borderId="31" xfId="0" applyNumberFormat="1" applyFont="1" applyFill="1" applyBorder="1" applyAlignment="1">
      <x:alignment horizont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32" xfId="0" applyNumberFormat="1" applyFont="1" applyFill="1" applyBorder="1" applyAlignment="1">
      <x:alignment vertical="top" wrapText="1"/>
    </x:xf>
    <x:xf numFmtId="0" fontId="5" fillId="4" borderId="33" xfId="0" applyNumberFormat="1" applyFont="1" applyFill="1" applyBorder="1" applyAlignment="1">
      <x:alignment vertical="top" wrapText="1"/>
    </x:xf>
    <x:xf numFmtId="0" fontId="5" fillId="4" borderId="34" xfId="0" applyNumberFormat="1" applyFont="1" applyFill="1" applyBorder="1" applyAlignment="1">
      <x:alignment vertical="top" wrapText="1"/>
    </x:xf>
    <x:xf numFmtId="0" fontId="1" fillId="4" borderId="17" xfId="0" applyNumberFormat="1" applyFont="1" applyFill="1" applyBorder="1" applyAlignment="1">
      <x:alignment vertical="top" wrapText="1"/>
    </x:xf>
    <x:xf numFmtId="0" fontId="1" fillId="4" borderId="18" xfId="0" applyNumberFormat="1" applyFont="1" applyFill="1" applyBorder="1" applyAlignment="1">
      <x:alignment vertical="top" wrapText="1"/>
    </x:xf>
    <x:xf numFmtId="0" fontId="1" fillId="4" borderId="19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5" fillId="4" borderId="18" xfId="0" applyNumberFormat="1" applyFont="1" applyFill="1" applyBorder="1" applyAlignment="1">
      <x:alignment vertical="top" wrapText="1"/>
    </x:xf>
    <x:xf numFmtId="0" fontId="5" fillId="4" borderId="19" xfId="0" applyNumberFormat="1" applyFont="1" applyFill="1" applyBorder="1" applyAlignment="1">
      <x:alignment vertical="top" wrapText="1"/>
    </x:xf>
    <x:xf numFmtId="0" fontId="5" fillId="4" borderId="35" xfId="0" applyNumberFormat="1" applyFont="1" applyFill="1" applyBorder="1" applyAlignment="1">
      <x:alignment vertical="top" wrapText="1"/>
    </x:xf>
    <x:xf numFmtId="0" fontId="5" fillId="4" borderId="36" xfId="0" applyNumberFormat="1" applyFont="1" applyFill="1" applyBorder="1" applyAlignment="1">
      <x:alignment vertical="top" wrapText="1"/>
    </x:xf>
    <x:xf numFmtId="0" fontId="5" fillId="4" borderId="37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1" fillId="0" borderId="6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1" fontId="1" fillId="0" borderId="6" xfId="0" applyNumberFormat="1" applyFont="1" applyFill="1" applyBorder="1" applyAlignment="1">
      <x:alignment vertical="top" wrapText="1"/>
    </x:xf>
    <x:xf numFmtId="201" fontId="1" fillId="0" borderId="9" xfId="0" applyNumberFormat="1" applyFont="1" applyFill="1" applyBorder="1" applyAlignment="1">
      <x:alignment vertical="top" wrapText="1"/>
    </x:xf>
    <x:xf numFmtId="201" fontId="1" fillId="0" borderId="15" xfId="0" applyNumberFormat="1" applyFont="1" applyFill="1" applyBorder="1" applyAlignment="1">
      <x:alignment vertical="top" wrapText="1"/>
    </x:xf>
    <x:xf numFmtId="201" fontId="1" fillId="0" borderId="1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5" xfId="0" applyNumberFormat="1" applyFont="1" applyFill="1" applyBorder="1" applyAlignment="1">
      <x:alignment vertical="top" wrapText="1"/>
    </x:xf>
    <x:xf numFmtId="0" fontId="1" fillId="5" borderId="18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9" xfId="0" applyNumberFormat="1" applyFont="1" applyFill="1" applyBorder="1" applyAlignment="1">
      <x:alignment vertical="top" wrapText="1"/>
    </x:xf>
    <x:xf numFmtId="0" fontId="1" fillId="6" borderId="15" xfId="0" applyNumberFormat="1" applyFont="1" applyFill="1" applyBorder="1" applyAlignment="1">
      <x:alignment vertical="top" wrapText="1"/>
    </x:xf>
    <x:xf numFmtId="0" fontId="1" fillId="6" borderId="18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6d90f4f384250" /><Relationship Type="http://schemas.openxmlformats.org/officeDocument/2006/relationships/theme" Target="/xl/theme/theme1.xml" Id="R11d9fe8d7ba34ab6" /><Relationship Type="http://schemas.openxmlformats.org/officeDocument/2006/relationships/sharedStrings" Target="/xl/sharedStrings.xml" Id="R898c4bd0bf3a4730" /><Relationship Type="http://schemas.openxmlformats.org/officeDocument/2006/relationships/worksheet" Target="/xl/worksheets/sheet1.xml" Id="R409d564c7b5a42fd" /><Relationship Type="http://schemas.openxmlformats.org/officeDocument/2006/relationships/worksheet" Target="/xl/worksheets/sheet2.xml" Id="R4304492551284ec1" /><Relationship Type="http://schemas.openxmlformats.org/officeDocument/2006/relationships/worksheet" Target="/xl/worksheets/sheet3.xml" Id="R9bc8901c355b47fc" /><Relationship Type="http://schemas.openxmlformats.org/officeDocument/2006/relationships/worksheet" Target="/xl/worksheets/sheet4.xml" Id="R1899fc6ce4a94c37" /><Relationship Type="http://schemas.openxmlformats.org/officeDocument/2006/relationships/worksheet" Target="/xl/worksheets/sheet5.xml" Id="Rc262447714344f41" /><Relationship Type="http://schemas.openxmlformats.org/officeDocument/2006/relationships/worksheet" Target="/xl/worksheets/sheet6.xml" Id="Raa29f9f9f5b94977" /></Relationships>
</file>

<file path=xl/tables/table1.xml><?xml version="1.0" encoding="utf-8"?>
<x:table xmlns:x="http://schemas.openxmlformats.org/spreadsheetml/2006/main" id="1" name="DoorDeployTable" displayName="DoorDeployTable" ref="A1:X63" headerRowCount="1">
  <x:tableColumns count="24">
    <x:tableColumn id="1" name="Deploy_ID"/>
    <x:tableColumn id="2" name="Legacy_Door_ID"/>
    <x:tableColumn id="3" name="Floor"/>
    <x:tableColumn id="4" name="Deploy_Include"/>
    <x:tableColumn id="5" name="Deploy_Status"/>
    <x:tableColumn id="6" name="Door_Size"/>
    <x:tableColumn id="7" name="Width_FT"/>
    <x:tableColumn id="8" name="Height_FT"/>
    <x:tableColumn id="9" name="Center_Grid_X"/>
    <x:tableColumn id="10" name="Center_Grid_Y"/>
    <x:tableColumn id="11" name="Center_Feet_X"/>
    <x:tableColumn id="12" name="Center_Feet_Y"/>
    <x:tableColumn id="13" name="Related_ID"/>
    <x:tableColumn id="14" name="Related_Room_or_Zone"/>
    <x:tableColumn id="15" name="Door_Type"/>
    <x:tableColumn id="16" name="Door_Material"/>
    <x:tableColumn id="17" name="Leaf_Type"/>
    <x:tableColumn id="18" name="Swing_Model"/>
    <x:tableColumn id="19" name="Hinge_Model"/>
    <x:tableColumn id="20" name="Exact_Handing_Status"/>
    <x:tableColumn id="21" name="Confidence"/>
    <x:tableColumn id="22" name="Verification_Level"/>
    <x:tableColumn id="23" name="Source_Basis"/>
    <x:tableColumn id="24" name="Deployment_Notes"/>
  </x:tableColumns>
  <x:tableStyleInfo name="TableStyleMedium2" showRowStripes="1"/>
</x:table>
</file>

<file path=xl/tables/table2.xml><?xml version="1.0" encoding="utf-8"?>
<x:table xmlns:x="http://schemas.openxmlformats.org/spreadsheetml/2006/main" id="2" name="ReferenceVerifyTable" displayName="ReferenceVerifyTable" ref="A1:X5" headerRowCount="1">
  <x:tableColumns count="24">
    <x:tableColumn id="1" name="Deploy_ID"/>
    <x:tableColumn id="2" name="Legacy_Door_ID"/>
    <x:tableColumn id="3" name="Floor"/>
    <x:tableColumn id="4" name="Deploy_Include"/>
    <x:tableColumn id="5" name="Deploy_Status"/>
    <x:tableColumn id="6" name="Door_Size"/>
    <x:tableColumn id="7" name="Width_FT"/>
    <x:tableColumn id="8" name="Height_FT"/>
    <x:tableColumn id="9" name="Center_Grid_X"/>
    <x:tableColumn id="10" name="Center_Grid_Y"/>
    <x:tableColumn id="11" name="Center_Feet_X"/>
    <x:tableColumn id="12" name="Center_Feet_Y"/>
    <x:tableColumn id="13" name="Related_ID"/>
    <x:tableColumn id="14" name="Related_Room_or_Zone"/>
    <x:tableColumn id="15" name="Door_Type"/>
    <x:tableColumn id="16" name="Door_Material"/>
    <x:tableColumn id="17" name="Leaf_Type"/>
    <x:tableColumn id="18" name="Swing_Model"/>
    <x:tableColumn id="19" name="Hinge_Model"/>
    <x:tableColumn id="20" name="Exact_Handing_Status"/>
    <x:tableColumn id="21" name="Confidence"/>
    <x:tableColumn id="22" name="Verification_Level"/>
    <x:tableColumn id="23" name="Source_Basis"/>
    <x:tableColumn id="24" name="Deployment_Notes"/>
  </x:tableColumns>
  <x:tableStyleInfo name="TableStyleMedium2" showRowStripes="1"/>
</x:table>
</file>

<file path=xl/tables/table3.xml><?xml version="1.0" encoding="utf-8"?>
<x:table xmlns:x="http://schemas.openxmlformats.org/spreadsheetml/2006/main" id="3" name="QAFlagsTable" displayName="QAFlagsTable" ref="A1:G38" headerRowCount="1">
  <x:tableColumns count="7">
    <x:tableColumn id="1" name="Deploy_ID"/>
    <x:tableColumn id="2" name="Legacy_Door_ID"/>
    <x:tableColumn id="3" name="Floor"/>
    <x:tableColumn id="4" name="Issue_Type"/>
    <x:tableColumn id="5" name="Severity"/>
    <x:tableColumn id="6" name="Action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1:D11" headerRowCount="1">
  <x:tableColumns count="4">
    <x:tableColumn id="1" name="Category"/>
    <x:tableColumn id="2" name="Rule / Standard"/>
    <x:tableColumn id="3" name="Classification"/>
    <x:tableColumn id="4" name="Deployment Notes"/>
  </x:tableColumns>
  <x:tableStyleInfo name="TableStyleMedium2" showRowStripes="1"/>
</x:table>
</file>

<file path=xl/tables/table5.xml><?xml version="1.0" encoding="utf-8"?>
<x:table xmlns:x="http://schemas.openxmlformats.org/spreadsheetml/2006/main" id="5" name="SourceRegisterTable" displayName="SourceRegisterTable" ref="A1:D7" headerRowCount="1">
  <x:tableColumns count="4">
    <x:tableColumn id="1" name="Source_ID"/>
    <x:tableColumn id="2" name="File / Source"/>
    <x:tableColumn id="3" name="Role in Door Schedul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7482adbd8e4f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786b7fad0848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454eceb51c43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be89c47e5347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c26f5288f044d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58" hidden="0" customWidth="1"/>
  </x:cols>
  <x:sheetData>
    <x:row r="1" ht="28" customHeight="1">
      <x:c r="A1" s="93" t="str">
        <x:v>NIMA Phase II Door Schedule v3.1 — Deployment Package</x:v>
      </x:c>
      <x:c r="B1" s="94"/>
      <x:c r="C1" s="95"/>
    </x:row>
    <x:row r="2" ht="36" customHeight="1">
      <x:c r="A2" s="105" t="str">
        <x:v>Purpose</x:v>
      </x:c>
      <x:c r="B2" s="105" t="str">
        <x:v>Clean deployable door/doorway schedule for first-pass 1:1 spatial-review build.</x:v>
      </x:c>
      <x:c r="C2" s="105"/>
    </x:row>
    <x:row r="3">
      <x:c r="A3"/>
      <x:c r="B3"/>
      <x:c r="C3"/>
    </x:row>
    <x:row r="4">
      <x:c r="A4" s="113" t="str">
        <x:v>Metric</x:v>
      </x:c>
      <x:c r="B4" s="114" t="str">
        <x:v>Value</x:v>
      </x:c>
      <x:c r="C4" s="115" t="str">
        <x:v>Notes</x:v>
      </x:c>
    </x:row>
    <x:row r="5">
      <x:c r="A5" s="21" t="str">
        <x:v>Total source rows</x:v>
      </x:c>
      <x:c r="B5" s="142" t="n">
        <x:f>COUNTA('Door Schedule Deploy'!A2:A500)</x:f>
        <x:v>62</x:v>
      </x:c>
      <x:c r="C5" s="23" t="str">
        <x:v>All retained schedule rows.</x:v>
      </x:c>
    </x:row>
    <x:row r="6">
      <x:c r="A6" s="24" t="str">
        <x:v>Deployable / include rows</x:v>
      </x:c>
      <x:c r="B6" s="143" t="n">
        <x:f>COUNTIF('Door Schedule Deploy'!D2:D500,"Yes")+COUNTIF('Door Schedule Deploy'!D2:D500,"Yes - flagged")</x:f>
        <x:v>60</x:v>
      </x:c>
      <x:c r="C6" s="26" t="str">
        <x:v>Rows to generate in first-pass model.</x:v>
      </x:c>
    </x:row>
    <x:row r="7">
      <x:c r="A7" s="24" t="str">
        <x:v>Reference / blocked rows</x:v>
      </x:c>
      <x:c r="B7" s="143" t="n">
        <x:f>COUNTIF('Door Schedule Deploy'!D2:D500,"No")</x:f>
        <x:v>2</x:v>
      </x:c>
      <x:c r="C7" s="26" t="str">
        <x:v>Existing Tyler connector rows remain blocked.</x:v>
      </x:c>
    </x:row>
    <x:row r="8">
      <x:c r="A8" s="24" t="str">
        <x:v>First-floor rows</x:v>
      </x:c>
      <x:c r="B8" s="143" t="n">
        <x:f>COUNTIF('Door Schedule Deploy'!C2:C500,"F1")</x:f>
        <x:v>34</x:v>
      </x:c>
      <x:c r="C8" s="26" t="str">
        <x:v>F1 door/doorway rows.</x:v>
      </x:c>
    </x:row>
    <x:row r="9">
      <x:c r="A9" s="24" t="str">
        <x:v>Second-floor rows</x:v>
      </x:c>
      <x:c r="B9" s="143" t="n">
        <x:f>COUNTIF('Door Schedule Deploy'!C2:C500,"F2")</x:f>
        <x:v>28</x:v>
      </x:c>
      <x:c r="C9" s="26" t="str">
        <x:v>F2 door/doorway rows.</x:v>
      </x:c>
    </x:row>
    <x:row r="10">
      <x:c r="A10" s="24" t="str">
        <x:v>3-ft rows</x:v>
      </x:c>
      <x:c r="B10" s="143" t="n">
        <x:f>COUNTIF('Door Schedule Deploy'!G2:G500,3)</x:f>
        <x:v>35</x:v>
      </x:c>
      <x:c r="C10" s="26" t="str">
        <x:v>Single leaf.</x:v>
      </x:c>
    </x:row>
    <x:row r="11">
      <x:c r="A11" s="24" t="str">
        <x:v>6-ft rows</x:v>
      </x:c>
      <x:c r="B11" s="143" t="n">
        <x:f>COUNTIF('Door Schedule Deploy'!G2:G500,6)</x:f>
        <x:v>27</x:v>
      </x:c>
      <x:c r="C11" s="26" t="str">
        <x:v>Double/pair/corridor/service.</x:v>
      </x:c>
    </x:row>
    <x:row r="12">
      <x:c r="A12" s="24" t="str">
        <x:v>Glass rows</x:v>
      </x:c>
      <x:c r="B12" s="143" t="n">
        <x:v>59</x:v>
      </x:c>
      <x:c r="C12" s="26" t="str">
        <x:v>Glass rows after restroom privacy update; restroom doors are solid wood.</x:v>
      </x:c>
    </x:row>
    <x:row r="13">
      <x:c r="A13" s="24" t="str">
        <x:v>Pre-build visual-check rows</x:v>
      </x:c>
      <x:c r="B13" s="143" t="n">
        <x:f>COUNTIF('Door Schedule Deploy'!E2:E500,"Pre-build visual check")</x:f>
        <x:v>2</x:v>
      </x:c>
      <x:c r="C13" s="26" t="str">
        <x:v>High-bay/exterior openings flagged for quick pre-build visual check.</x:v>
      </x:c>
    </x:row>
    <x:row r="14">
      <x:c r="A14" s="24" t="str">
        <x:v>Exact handings confirmed</x:v>
      </x:c>
      <x:c r="B14" s="143" t="n">
        <x:f>COUNTIF('Door Schedule Deploy'!T2:T500,"Confirmed")</x:f>
        <x:v>1</x:v>
      </x:c>
      <x:c r="C14" s="26" t="str">
        <x:v>Rows with explicit non-TBD swing/hinge.</x:v>
      </x:c>
    </x:row>
    <x:row r="15">
      <x:c r="A15" s="24" t="str">
        <x:v>Solid wood restroom rows</x:v>
      </x:c>
      <x:c r="B15" s="25" t="n">
        <x:v>3</x:v>
      </x:c>
      <x:c r="C15" s="26" t="str">
        <x:v>F1 restroom doors only; warm light wood to match existing building woodwork.</x:v>
      </x:c>
    </x:row>
    <x:row r="16">
      <x:c r="A16" s="130" t="str">
        <x:v>Readiness decision</x:v>
      </x:c>
      <x:c r="B16" s="131" t="str">
        <x:v>READY FOR FIRST-PASS DEPLOYMENT</x:v>
      </x:c>
      <x:c r="C16" s="132" t="str">
        <x:v>Not a CAD/hardware-final door submittal; use QA sheet for post-placement visual checks.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8" hidden="0" customWidth="1"/>
    <x:col min="4" max="4" width="13" hidden="0" customWidth="1"/>
    <x:col min="5" max="5" width="28" hidden="0" customWidth="1"/>
    <x:col min="6" max="6" width="15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8" hidden="0" customWidth="1"/>
    <x:col min="14" max="14" width="26" hidden="0" customWidth="1"/>
    <x:col min="15" max="15" width="24" hidden="0" customWidth="1"/>
    <x:col min="16" max="16" width="12" hidden="0" customWidth="1"/>
    <x:col min="17" max="17" width="18" hidden="0" customWidth="1"/>
    <x:col min="18" max="18" width="34" hidden="0" customWidth="1"/>
    <x:col min="19" max="19" width="28" hidden="0" customWidth="1"/>
    <x:col min="20" max="20" width="22" hidden="0" customWidth="1"/>
    <x:col min="21" max="21" width="14" hidden="0" customWidth="1"/>
    <x:col min="22" max="22" width="24" hidden="0" customWidth="1"/>
    <x:col min="23" max="23" width="42" hidden="0" customWidth="1"/>
    <x:col min="24" max="24" width="60" hidden="0" customWidth="1"/>
  </x:cols>
  <x:sheetData>
    <x:row r="1" ht="40" customHeight="1">
      <x:c r="A1" s="70" t="str">
        <x:v>Deploy_ID</x:v>
      </x:c>
      <x:c r="B1" s="71" t="str">
        <x:v>Legacy_Door_ID</x:v>
      </x:c>
      <x:c r="C1" s="71" t="str">
        <x:v>Floor</x:v>
      </x:c>
      <x:c r="D1" s="71" t="str">
        <x:v>Deploy_Include</x:v>
      </x:c>
      <x:c r="E1" s="71" t="str">
        <x:v>Deploy_Status</x:v>
      </x:c>
      <x:c r="F1" s="71" t="str">
        <x:v>Door_Size</x:v>
      </x:c>
      <x:c r="G1" s="71" t="str">
        <x:v>Width_FT</x:v>
      </x:c>
      <x:c r="H1" s="71" t="str">
        <x:v>Height_FT</x:v>
      </x:c>
      <x:c r="I1" s="71" t="str">
        <x:v>Center_Grid_X</x:v>
      </x:c>
      <x:c r="J1" s="71" t="str">
        <x:v>Center_Grid_Y</x:v>
      </x:c>
      <x:c r="K1" s="71" t="str">
        <x:v>Center_Feet_X</x:v>
      </x:c>
      <x:c r="L1" s="71" t="str">
        <x:v>Center_Feet_Y</x:v>
      </x:c>
      <x:c r="M1" s="71" t="str">
        <x:v>Related_ID</x:v>
      </x:c>
      <x:c r="N1" s="71" t="str">
        <x:v>Related_Room_or_Zone</x:v>
      </x:c>
      <x:c r="O1" s="71" t="str">
        <x:v>Door_Type</x:v>
      </x:c>
      <x:c r="P1" s="71" t="str">
        <x:v>Door_Material</x:v>
      </x:c>
      <x:c r="Q1" s="71" t="str">
        <x:v>Leaf_Type</x:v>
      </x:c>
      <x:c r="R1" s="71" t="str">
        <x:v>Swing_Model</x:v>
      </x:c>
      <x:c r="S1" s="71" t="str">
        <x:v>Hinge_Model</x:v>
      </x:c>
      <x:c r="T1" s="71" t="str">
        <x:v>Exact_Handing_Status</x:v>
      </x:c>
      <x:c r="U1" s="71" t="str">
        <x:v>Confidence</x:v>
      </x:c>
      <x:c r="V1" s="71" t="str">
        <x:v>Verification_Action</x:v>
      </x:c>
      <x:c r="W1" s="71" t="str">
        <x:v>Source_Basis</x:v>
      </x:c>
      <x:c r="X1" s="72" t="str">
        <x:v>Deployment_Notes</x:v>
      </x:c>
    </x:row>
    <x:row r="2">
      <x:c r="A2" s="24" t="str">
        <x:v>F1-D001</x:v>
      </x:c>
      <x:c r="B2" s="25" t="str">
        <x:v>F1-DR-001</x:v>
      </x:c>
      <x:c r="C2" s="25" t="str">
        <x:v>F1</x:v>
      </x:c>
      <x:c r="D2" s="152" t="str">
        <x:v>Yes</x:v>
      </x:c>
      <x:c r="E2" s="152" t="str">
        <x:v>Deployable for first-pass spatial model</x:v>
      </x:c>
      <x:c r="F2" s="25" t="str">
        <x:v>6'-0" x 7'-0"</x:v>
      </x:c>
      <x:c r="G2" s="143" t="n">
        <x:v>6</x:v>
      </x:c>
      <x:c r="H2" s="143" t="n">
        <x:v>7</x:v>
      </x:c>
      <x:c r="I2" s="146" t="n">
        <x:v>-0.406</x:v>
      </x:c>
      <x:c r="J2" s="146" t="n">
        <x:v>-6.524</x:v>
      </x:c>
      <x:c r="K2" s="146" t="n">
        <x:v>-3.2</x:v>
      </x:c>
      <x:c r="L2" s="146" t="n">
        <x:v>-52.2</x:v>
      </x:c>
      <x:c r="M2" s="25" t="str">
        <x:v>GEN-F1-CORRIDOR</x:v>
      </x:c>
      <x:c r="N2" s="25" t="str">
        <x:v>Generic corridor / connector opening</x:v>
      </x:c>
      <x:c r="O2" s="25" t="str">
        <x:v>Double Glazed Corridor</x:v>
      </x:c>
      <x:c r="P2" s="25" t="str">
        <x:v>Glass</x:v>
      </x:c>
      <x:c r="Q2" s="25" t="str">
        <x:v>Double leaf pair</x:v>
      </x:c>
      <x:c r="R2" s="25" t="str">
        <x:v>Double pair centered in opening; use both jambs</x:v>
      </x:c>
      <x:c r="S2" s="25" t="str">
        <x:v>Both jambs / paired leaves</x:v>
      </x:c>
      <x:c r="T2" s="25" t="str">
        <x:v>Pair default</x:v>
      </x:c>
      <x:c r="U2" s="25" t="str">
        <x:v>Medium</x:v>
      </x:c>
      <x:c r="V2" s="25" t="str">
        <x:v>Post-placement QA only</x:v>
      </x:c>
      <x:c r="W2" s="25" t="str">
        <x:v>Consolidated v2.4 door workbook + uploaded schematic SVGs + user 3ft/6ft glass-door constraints</x:v>
      </x:c>
      <x:c r="X2" s="26" t="str">
        <x:v>Nearest: F1-AAE (8.5 ft), F1-AAD (14.6 ft). | Graphic swing exists in schematic; exact hand/jamb not fully digitized in this pass.</x:v>
      </x:c>
    </x:row>
    <x:row r="3">
      <x:c r="A3" s="24" t="str">
        <x:v>F1-D002</x:v>
      </x:c>
      <x:c r="B3" s="25" t="str">
        <x:v>F1-DR-002</x:v>
      </x:c>
      <x:c r="C3" s="25" t="str">
        <x:v>F1</x:v>
      </x:c>
      <x:c r="D3" s="152" t="str">
        <x:v>Yes</x:v>
      </x:c>
      <x:c r="E3" s="152" t="str">
        <x:v>Deployable for first-pass spatial model</x:v>
      </x:c>
      <x:c r="F3" s="25" t="str">
        <x:v>6'-0" x 7'-0"</x:v>
      </x:c>
      <x:c r="G3" s="143" t="n">
        <x:v>6</x:v>
      </x:c>
      <x:c r="H3" s="143" t="n">
        <x:v>7</x:v>
      </x:c>
      <x:c r="I3" s="146" t="n">
        <x:v>-0.403</x:v>
      </x:c>
      <x:c r="J3" s="146" t="n">
        <x:v>-5.282</x:v>
      </x:c>
      <x:c r="K3" s="146" t="n">
        <x:v>-3.2</x:v>
      </x:c>
      <x:c r="L3" s="146" t="n">
        <x:v>-42.3</x:v>
      </x:c>
      <x:c r="M3" s="25" t="str">
        <x:v>GEN-F1-CORRIDOR</x:v>
      </x:c>
      <x:c r="N3" s="25" t="str">
        <x:v>Generic corridor / connector opening</x:v>
      </x:c>
      <x:c r="O3" s="25" t="str">
        <x:v>Double Glazed Corridor</x:v>
      </x:c>
      <x:c r="P3" s="25" t="str">
        <x:v>Glass</x:v>
      </x:c>
      <x:c r="Q3" s="25" t="str">
        <x:v>Double leaf pair</x:v>
      </x:c>
      <x:c r="R3" s="25" t="str">
        <x:v>Double pair centered in opening; use both jambs</x:v>
      </x:c>
      <x:c r="S3" s="25" t="str">
        <x:v>Both jambs / paired leaves</x:v>
      </x:c>
      <x:c r="T3" s="25" t="str">
        <x:v>Pair default</x:v>
      </x:c>
      <x:c r="U3" s="25" t="str">
        <x:v>Medium</x:v>
      </x:c>
      <x:c r="V3" s="25" t="str">
        <x:v>Post-placement QA only</x:v>
      </x:c>
      <x:c r="W3" s="25" t="str">
        <x:v>Consolidated v2.4 door workbook + uploaded schematic SVGs + user 3ft/6ft glass-door constraints</x:v>
      </x:c>
      <x:c r="X3" s="26" t="str">
        <x:v>Nearest: F1-AAF (11.7 ft), F1-AAC (14.5 ft). | Graphic swing exists in schematic; exact hand/jamb not fully digitized in this pass.</x:v>
      </x:c>
    </x:row>
    <x:row r="4">
      <x:c r="A4" s="24" t="str">
        <x:v>F1-D003</x:v>
      </x:c>
      <x:c r="B4" s="25" t="str">
        <x:v>F1-DR-003</x:v>
      </x:c>
      <x:c r="C4" s="25" t="str">
        <x:v>F1</x:v>
      </x:c>
      <x:c r="D4" s="152" t="str">
        <x:v>Yes</x:v>
      </x:c>
      <x:c r="E4" s="152" t="str">
        <x:v>Deployable for first-pass spatial model</x:v>
      </x:c>
      <x:c r="F4" s="25" t="str">
        <x:v>6'-0" x 7'-0"</x:v>
      </x:c>
      <x:c r="G4" s="143" t="n">
        <x:v>6</x:v>
      </x:c>
      <x:c r="H4" s="143" t="n">
        <x:v>7</x:v>
      </x:c>
      <x:c r="I4" s="146" t="n">
        <x:v>-0.399</x:v>
      </x:c>
      <x:c r="J4" s="146" t="n">
        <x:v>-2.672</x:v>
      </x:c>
      <x:c r="K4" s="146" t="n">
        <x:v>-3.2</x:v>
      </x:c>
      <x:c r="L4" s="146" t="n">
        <x:v>-21.4</x:v>
      </x:c>
      <x:c r="M4" s="25" t="str">
        <x:v>GEN-F1-CORRIDOR</x:v>
      </x:c>
      <x:c r="N4" s="25" t="str">
        <x:v>Generic corridor / connector opening</x:v>
      </x:c>
      <x:c r="O4" s="25" t="str">
        <x:v>Double Glazed Corridor</x:v>
      </x:c>
      <x:c r="P4" s="25" t="str">
        <x:v>Glass</x:v>
      </x:c>
      <x:c r="Q4" s="25" t="str">
        <x:v>Double leaf pair</x:v>
      </x:c>
      <x:c r="R4" s="25" t="str">
        <x:v>Double pair centered in opening; use both jambs</x:v>
      </x:c>
      <x:c r="S4" s="25" t="str">
        <x:v>Both jambs / paired leaves</x:v>
      </x:c>
      <x:c r="T4" s="25" t="str">
        <x:v>Pair default</x:v>
      </x:c>
      <x:c r="U4" s="25" t="str">
        <x:v>Medium</x:v>
      </x:c>
      <x:c r="V4" s="25" t="str">
        <x:v>Post-placement QA only</x:v>
      </x:c>
      <x:c r="W4" s="25" t="str">
        <x:v>Consolidated v2.4 door workbook + uploaded schematic SVGs + user 3ft/6ft glass-door constraints</x:v>
      </x:c>
      <x:c r="X4" s="26" t="str">
        <x:v>Nearest: F1-AAG (10.6 ft), F1-AAH (11.1 ft). | Graphic swing exists in schematic; exact hand/jamb not fully digitized in this pass.</x:v>
      </x:c>
    </x:row>
    <x:row r="5">
      <x:c r="A5" s="24" t="str">
        <x:v>F1-D004</x:v>
      </x:c>
      <x:c r="B5" s="25" t="str">
        <x:v>F1-DR-004</x:v>
      </x:c>
      <x:c r="C5" s="25" t="str">
        <x:v>F1</x:v>
      </x:c>
      <x:c r="D5" s="152" t="str">
        <x:v>Yes</x:v>
      </x:c>
      <x:c r="E5" s="152" t="str">
        <x:v>Deployable for first-pass spatial model</x:v>
      </x:c>
      <x:c r="F5" s="25" t="str">
        <x:v>6'-0" x 7'-0"</x:v>
      </x:c>
      <x:c r="G5" s="143" t="n">
        <x:v>6</x:v>
      </x:c>
      <x:c r="H5" s="143" t="n">
        <x:v>7</x:v>
      </x:c>
      <x:c r="I5" s="146" t="n">
        <x:v>-0.395</x:v>
      </x:c>
      <x:c r="J5" s="146" t="n">
        <x:v>-3.811</x:v>
      </x:c>
      <x:c r="K5" s="146" t="n">
        <x:v>-3.2</x:v>
      </x:c>
      <x:c r="L5" s="146" t="n">
        <x:v>-30.5</x:v>
      </x:c>
      <x:c r="M5" s="25" t="str">
        <x:v>GEN-F1-CORRIDOR</x:v>
      </x:c>
      <x:c r="N5" s="25" t="str">
        <x:v>Generic corridor / connector opening</x:v>
      </x:c>
      <x:c r="O5" s="25" t="str">
        <x:v>Double Glazed Corridor</x:v>
      </x:c>
      <x:c r="P5" s="25" t="str">
        <x:v>Glass</x:v>
      </x:c>
      <x:c r="Q5" s="25" t="str">
        <x:v>Double leaf pair</x:v>
      </x:c>
      <x:c r="R5" s="25" t="str">
        <x:v>Double pair centered in opening; use both jambs</x:v>
      </x:c>
      <x:c r="S5" s="25" t="str">
        <x:v>Both jambs / paired leaves</x:v>
      </x:c>
      <x:c r="T5" s="25" t="str">
        <x:v>Pair default</x:v>
      </x:c>
      <x:c r="U5" s="25" t="str">
        <x:v>Medium</x:v>
      </x:c>
      <x:c r="V5" s="25" t="str">
        <x:v>Post-placement QA only</x:v>
      </x:c>
      <x:c r="W5" s="25" t="str">
        <x:v>Consolidated v2.4 door workbook + uploaded schematic SVGs + user 3ft/6ft glass-door constraints</x:v>
      </x:c>
      <x:c r="X5" s="26" t="str">
        <x:v>Nearest: F1-AAG (11.0 ft), F1-AAF (11.3 ft). | Graphic swing exists in schematic; exact hand/jamb not fully digitized in this pass.</x:v>
      </x:c>
    </x:row>
    <x:row r="6">
      <x:c r="A6" s="24" t="str">
        <x:v>F1-D005</x:v>
      </x:c>
      <x:c r="B6" s="25" t="str">
        <x:v>F1-DR-005</x:v>
      </x:c>
      <x:c r="C6" s="25" t="str">
        <x:v>F1</x:v>
      </x:c>
      <x:c r="D6" s="152" t="str">
        <x:v>Yes</x:v>
      </x:c>
      <x:c r="E6" s="152" t="str">
        <x:v>Deployable for first-pass spatial model</x:v>
      </x:c>
      <x:c r="F6" s="25" t="str">
        <x:v>6'-0" x 7'-0"</x:v>
      </x:c>
      <x:c r="G6" s="143" t="n">
        <x:v>6</x:v>
      </x:c>
      <x:c r="H6" s="143" t="n">
        <x:v>7</x:v>
      </x:c>
      <x:c r="I6" s="146" t="n">
        <x:v>-0.084</x:v>
      </x:c>
      <x:c r="J6" s="146" t="n">
        <x:v>-0.97</x:v>
      </x:c>
      <x:c r="K6" s="146" t="n">
        <x:v>-0.7</x:v>
      </x:c>
      <x:c r="L6" s="146" t="n">
        <x:v>-7.8</x:v>
      </x:c>
      <x:c r="M6" s="25" t="str">
        <x:v>GEN-F1-CORRIDOR</x:v>
      </x:c>
      <x:c r="N6" s="25" t="str">
        <x:v>Generic corridor / connector opening</x:v>
      </x:c>
      <x:c r="O6" s="25" t="str">
        <x:v>Double Glazed Corridor</x:v>
      </x:c>
      <x:c r="P6" s="25" t="str">
        <x:v>Glass</x:v>
      </x:c>
      <x:c r="Q6" s="25" t="str">
        <x:v>Double leaf pair</x:v>
      </x:c>
      <x:c r="R6" s="25" t="str">
        <x:v>Double pair centered in opening; use both jambs</x:v>
      </x:c>
      <x:c r="S6" s="25" t="str">
        <x:v>Both jambs / paired leaves</x:v>
      </x:c>
      <x:c r="T6" s="25" t="str">
        <x:v>Pair default</x:v>
      </x:c>
      <x:c r="U6" s="25" t="str">
        <x:v>Medium</x:v>
      </x:c>
      <x:c r="V6" s="25" t="str">
        <x:v>Post-placement QA only</x:v>
      </x:c>
      <x:c r="W6" s="25" t="str">
        <x:v>Consolidated v2.4 door workbook + uploaded schematic SVGs + user 3ft/6ft glass-door constraints</x:v>
      </x:c>
      <x:c r="X6" s="26" t="str">
        <x:v>Nearest: F1-AAH (7.1 ft), F1-AAA (18.4 ft). | Graphic swing exists in schematic; exact hand/jamb not fully digitized in this pass.</x:v>
      </x:c>
    </x:row>
    <x:row r="7">
      <x:c r="A7" s="24" t="str">
        <x:v>F1-D006</x:v>
      </x:c>
      <x:c r="B7" s="25" t="str">
        <x:v>F1-DR-006</x:v>
      </x:c>
      <x:c r="C7" s="25" t="str">
        <x:v>F1</x:v>
      </x:c>
      <x:c r="D7" s="152" t="str">
        <x:v>Yes</x:v>
      </x:c>
      <x:c r="E7" s="152" t="str">
        <x:v>Deployable for first-pass spatial model</x:v>
      </x:c>
      <x:c r="F7" s="25" t="str">
        <x:v>3'-0" x 7'-0"</x:v>
      </x:c>
      <x:c r="G7" s="143" t="n">
        <x:v>3</x:v>
      </x:c>
      <x:c r="H7" s="143" t="n">
        <x:v>7</x:v>
      </x:c>
      <x:c r="I7" s="146" t="n">
        <x:v>0.541</x:v>
      </x:c>
      <x:c r="J7" s="146" t="n">
        <x:v>-7.977</x:v>
      </x:c>
      <x:c r="K7" s="146" t="n">
        <x:v>4.3</x:v>
      </x:c>
      <x:c r="L7" s="146" t="n">
        <x:v>-63.8</x:v>
      </x:c>
      <x:c r="M7" s="25" t="str">
        <x:v>F1-AAE</x:v>
      </x:c>
      <x:c r="N7" s="25" t="str">
        <x:v>MECH</x:v>
      </x:c>
      <x:c r="O7" s="25" t="str">
        <x:v>Single Glazed Swing</x:v>
      </x:c>
      <x:c r="P7" s="25" t="str">
        <x:v>Glass</x:v>
      </x:c>
      <x:c r="Q7" s="25" t="str">
        <x:v>Single leaf</x:v>
      </x:c>
      <x:c r="R7" s="25" t="str">
        <x:v>Default: swing into associated room; auto-select jamb to avoid wall collision</x:v>
      </x:c>
      <x:c r="S7" s="25" t="str">
        <x:v>Auto-select jamb during build QA</x:v>
      </x:c>
      <x:c r="T7" s="25" t="str">
        <x:v>Auto-select / visual QA</x:v>
      </x:c>
      <x:c r="U7" s="25" t="str">
        <x:v>High</x:v>
      </x:c>
      <x:c r="V7" s="25" t="str">
        <x:v>Post-placement QA only</x:v>
      </x:c>
      <x:c r="W7" s="25" t="str">
        <x:v>Consolidated v2.4 door workbook + uploaded schematic SVGs + user 3ft/6ft glass-door constraints</x:v>
      </x:c>
      <x:c r="X7" s="26" t="str">
        <x:v>Nearest: F1-AAE (5.5 ft), F1-AAM (15.6 ft). | Graphic swing exists in schematic; exact hand/jamb not fully digitized in this pass.</x:v>
      </x:c>
    </x:row>
    <x:row r="8">
      <x:c r="A8" s="24" t="str">
        <x:v>F1-D007</x:v>
      </x:c>
      <x:c r="B8" s="25" t="str">
        <x:v>F1-DR-007</x:v>
      </x:c>
      <x:c r="C8" s="25" t="str">
        <x:v>F1</x:v>
      </x:c>
      <x:c r="D8" s="152" t="str">
        <x:v>Yes</x:v>
      </x:c>
      <x:c r="E8" s="152" t="str">
        <x:v>Deployable for first-pass spatial model</x:v>
      </x:c>
      <x:c r="F8" s="25" t="str">
        <x:v>6'-0" x 7'-0"</x:v>
      </x:c>
      <x:c r="G8" s="143" t="n">
        <x:v>6</x:v>
      </x:c>
      <x:c r="H8" s="143" t="n">
        <x:v>7</x:v>
      </x:c>
      <x:c r="I8" s="146" t="n">
        <x:v>0.75</x:v>
      </x:c>
      <x:c r="J8" s="146" t="n">
        <x:v>-6.352</x:v>
      </x:c>
      <x:c r="K8" s="146" t="n">
        <x:v>6</x:v>
      </x:c>
      <x:c r="L8" s="146" t="n">
        <x:v>-50.8</x:v>
      </x:c>
      <x:c r="M8" s="25" t="str">
        <x:v>GEN-F1-CORRIDOR</x:v>
      </x:c>
      <x:c r="N8" s="25" t="str">
        <x:v>Generic corridor / connector opening</x:v>
      </x:c>
      <x:c r="O8" s="25" t="str">
        <x:v>Double Glazed Corridor</x:v>
      </x:c>
      <x:c r="P8" s="25" t="str">
        <x:v>Glass</x:v>
      </x:c>
      <x:c r="Q8" s="25" t="str">
        <x:v>Double leaf pair</x:v>
      </x:c>
      <x:c r="R8" s="25" t="str">
        <x:v>Double pair centered in opening; use both jambs</x:v>
      </x:c>
      <x:c r="S8" s="25" t="str">
        <x:v>Both jambs / paired leaves</x:v>
      </x:c>
      <x:c r="T8" s="25" t="str">
        <x:v>Pair default</x:v>
      </x:c>
      <x:c r="U8" s="25" t="str">
        <x:v>Medium</x:v>
      </x:c>
      <x:c r="V8" s="25" t="str">
        <x:v>Post-placement QA only</x:v>
      </x:c>
      <x:c r="W8" s="25" t="str">
        <x:v>Consolidated v2.4 door workbook + uploaded schematic SVGs + user 3ft/6ft glass-door constraints</x:v>
      </x:c>
      <x:c r="X8" s="26" t="str">
        <x:v>Nearest: F1-AAE (10.4 ft), F1-AAM (11.8 ft). | Graphic swing exists in schematic; exact hand/jamb not fully digitized in this pass.</x:v>
      </x:c>
    </x:row>
    <x:row r="9">
      <x:c r="A9" s="24" t="str">
        <x:v>F1-D008</x:v>
      </x:c>
      <x:c r="B9" s="25" t="str">
        <x:v>F1-DR-008</x:v>
      </x:c>
      <x:c r="C9" s="25" t="str">
        <x:v>F1</x:v>
      </x:c>
      <x:c r="D9" s="152" t="str">
        <x:v>Yes</x:v>
      </x:c>
      <x:c r="E9" s="152" t="str">
        <x:v>Deployable for first-pass spatial model</x:v>
      </x:c>
      <x:c r="F9" s="25" t="str">
        <x:v>6'-0" x 7'-0"</x:v>
      </x:c>
      <x:c r="G9" s="143" t="n">
        <x:v>6</x:v>
      </x:c>
      <x:c r="H9" s="143" t="n">
        <x:v>7</x:v>
      </x:c>
      <x:c r="I9" s="146" t="n">
        <x:v>0.753</x:v>
      </x:c>
      <x:c r="J9" s="146" t="n">
        <x:v>-2.067</x:v>
      </x:c>
      <x:c r="K9" s="146" t="n">
        <x:v>6</x:v>
      </x:c>
      <x:c r="L9" s="146" t="n">
        <x:v>-16.5</x:v>
      </x:c>
      <x:c r="M9" s="25" t="str">
        <x:v>GEN-F1-CORRIDOR</x:v>
      </x:c>
      <x:c r="N9" s="25" t="str">
        <x:v>Generic corridor / connector opening</x:v>
      </x:c>
      <x:c r="O9" s="25" t="str">
        <x:v>Double Glazed Corridor</x:v>
      </x:c>
      <x:c r="P9" s="25" t="str">
        <x:v>Glass</x:v>
      </x:c>
      <x:c r="Q9" s="25" t="str">
        <x:v>Double leaf pair</x:v>
      </x:c>
      <x:c r="R9" s="25" t="str">
        <x:v>Double pair centered in opening; use both jambs</x:v>
      </x:c>
      <x:c r="S9" s="25" t="str">
        <x:v>Both jambs / paired leaves</x:v>
      </x:c>
      <x:c r="T9" s="25" t="str">
        <x:v>Pair default</x:v>
      </x:c>
      <x:c r="U9" s="25" t="str">
        <x:v>Medium</x:v>
      </x:c>
      <x:c r="V9" s="25" t="str">
        <x:v>Post-placement QA only</x:v>
      </x:c>
      <x:c r="W9" s="25" t="str">
        <x:v>Consolidated v2.4 door workbook + uploaded schematic SVGs + user 3ft/6ft glass-door constraints</x:v>
      </x:c>
      <x:c r="X9" s="26" t="str">
        <x:v>Nearest: F1-AAH (4.0 ft), F1-AAG (8.9 ft). | Graphic swing exists in schematic; exact hand/jamb not fully digitized in this pass.</x:v>
      </x:c>
    </x:row>
    <x:row r="10">
      <x:c r="A10" s="24" t="str">
        <x:v>F1-D009</x:v>
      </x:c>
      <x:c r="B10" s="25" t="str">
        <x:v>F1-DR-009</x:v>
      </x:c>
      <x:c r="C10" s="25" t="str">
        <x:v>F1</x:v>
      </x:c>
      <x:c r="D10" s="152" t="str">
        <x:v>Yes</x:v>
      </x:c>
      <x:c r="E10" s="152" t="str">
        <x:v>Deployable for first-pass spatial model</x:v>
      </x:c>
      <x:c r="F10" s="25" t="str">
        <x:v>3'-0" x 7'-0"</x:v>
      </x:c>
      <x:c r="G10" s="143" t="n">
        <x:v>3</x:v>
      </x:c>
      <x:c r="H10" s="143" t="n">
        <x:v>7</x:v>
      </x:c>
      <x:c r="I10" s="146" t="n">
        <x:v>1.327</x:v>
      </x:c>
      <x:c r="J10" s="146" t="n">
        <x:v>-7.072</x:v>
      </x:c>
      <x:c r="K10" s="146" t="n">
        <x:v>10.6</x:v>
      </x:c>
      <x:c r="L10" s="146" t="n">
        <x:v>-56.6</x:v>
      </x:c>
      <x:c r="M10" s="25" t="str">
        <x:v>F1-AAM</x:v>
      </x:c>
      <x:c r="N10" s="25" t="str">
        <x:v>FACILITY MGR.</x:v>
      </x:c>
      <x:c r="O10" s="25" t="str">
        <x:v>Single Glazed Swing</x:v>
      </x:c>
      <x:c r="P10" s="25" t="str">
        <x:v>Glass</x:v>
      </x:c>
      <x:c r="Q10" s="25" t="str">
        <x:v>Single leaf</x:v>
      </x:c>
      <x:c r="R10" s="25" t="str">
        <x:v>Default: swing into associated room; auto-select jamb to avoid wall collision</x:v>
      </x:c>
      <x:c r="S10" s="25" t="str">
        <x:v>Auto-select jamb during build QA</x:v>
      </x:c>
      <x:c r="T10" s="25" t="str">
        <x:v>Auto-select / visual QA</x:v>
      </x:c>
      <x:c r="U10" s="25" t="str">
        <x:v>High</x:v>
      </x:c>
      <x:c r="V10" s="25" t="str">
        <x:v>Post-placement QA only</x:v>
      </x:c>
      <x:c r="W10" s="25" t="str">
        <x:v>Consolidated v2.4 door workbook + uploaded schematic SVGs + user 3ft/6ft glass-door constraints</x:v>
      </x:c>
      <x:c r="X10" s="26" t="str">
        <x:v>Nearest: F1-AAM (6.7 ft), F1-AAE (10.4 ft). | Graphic swing exists in schematic; exact hand/jamb not fully digitized in this pass.</x:v>
      </x:c>
    </x:row>
    <x:row r="11">
      <x:c r="A11" s="24" t="str">
        <x:v>F1-D010</x:v>
      </x:c>
      <x:c r="B11" s="25" t="str">
        <x:v>F1-DR-010</x:v>
      </x:c>
      <x:c r="C11" s="25" t="str">
        <x:v>F1</x:v>
      </x:c>
      <x:c r="D11" s="152" t="str">
        <x:v>Yes</x:v>
      </x:c>
      <x:c r="E11" s="152" t="str">
        <x:v>Deployable for first-pass spatial model</x:v>
      </x:c>
      <x:c r="F11" s="25" t="str">
        <x:v>3'-0" x 7'-0"</x:v>
      </x:c>
      <x:c r="G11" s="143" t="n">
        <x:v>3</x:v>
      </x:c>
      <x:c r="H11" s="143" t="n">
        <x:v>7</x:v>
      </x:c>
      <x:c r="I11" s="146" t="n">
        <x:v>1.327</x:v>
      </x:c>
      <x:c r="J11" s="146" t="n">
        <x:v>-5.732</x:v>
      </x:c>
      <x:c r="K11" s="146" t="n">
        <x:v>10.6</x:v>
      </x:c>
      <x:c r="L11" s="146" t="n">
        <x:v>-45.9</x:v>
      </x:c>
      <x:c r="M11" s="25" t="str">
        <x:v>F1-AAL</x:v>
      </x:c>
      <x:c r="N11" s="25" t="str">
        <x:v>RR, 57 SF</x:v>
      </x:c>
      <x:c r="O11" s="25" t="str">
        <x:v>Single Solid Wood Swing</x:v>
      </x:c>
      <x:c r="P11" s="25" t="str">
        <x:v>Solid wood - warm light wood trim match</x:v>
      </x:c>
      <x:c r="Q11" s="25" t="str">
        <x:v>Single leaf</x:v>
      </x:c>
      <x:c r="R11" s="25" t="str">
        <x:v>Outward to corridor</x:v>
      </x:c>
      <x:c r="S11" s="25" t="str">
        <x:v>Left jamb</x:v>
      </x:c>
      <x:c r="T11" s="25" t="str">
        <x:v>Confirmed</x:v>
      </x:c>
      <x:c r="U11" s="25" t="str">
        <x:v>High</x:v>
      </x:c>
      <x:c r="V11" s="25" t="str">
        <x:v>Post-placement QA only</x:v>
      </x:c>
      <x:c r="W11" s="25" t="str">
        <x:v>Consolidated v2.4 door workbook + uploaded schematic SVGs + user restroom solid-wood privacy directive</x:v>
      </x:c>
      <x:c r="X11" s="26" t="str">
        <x:v>Nearest: F1-AAL (8.6 ft), F1-AAF (10.6 ft). | Graphic swing exists in schematic; exact hand/jamb not fully digitized in this pass. | Confirmed from schematic/Grok verification: hinge left when facing room; arc swings out into corridor. | Restroom privacy update: use solid wood door, warm light wood color matching existing-building wood trim/casing photos; do not use glass for RR doors.</x:v>
      </x:c>
    </x:row>
    <x:row r="12">
      <x:c r="A12" s="24" t="str">
        <x:v>F1-D011</x:v>
      </x:c>
      <x:c r="B12" s="25" t="str">
        <x:v>F1-DR-011</x:v>
      </x:c>
      <x:c r="C12" s="25" t="str">
        <x:v>F1</x:v>
      </x:c>
      <x:c r="D12" s="152" t="str">
        <x:v>Yes</x:v>
      </x:c>
      <x:c r="E12" s="152" t="str">
        <x:v>Deployable for first-pass spatial model</x:v>
      </x:c>
      <x:c r="F12" s="25" t="str">
        <x:v>3'-0" x 7'-0"</x:v>
      </x:c>
      <x:c r="G12" s="143" t="n">
        <x:v>3</x:v>
      </x:c>
      <x:c r="H12" s="143" t="n">
        <x:v>7</x:v>
      </x:c>
      <x:c r="I12" s="146" t="n">
        <x:v>2.225</x:v>
      </x:c>
      <x:c r="J12" s="146" t="n">
        <x:v>-5.997</x:v>
      </x:c>
      <x:c r="K12" s="146" t="n">
        <x:v>17.8</x:v>
      </x:c>
      <x:c r="L12" s="146" t="n">
        <x:v>-48</x:v>
      </x:c>
      <x:c r="M12" s="25" t="str">
        <x:v>F1-AAL</x:v>
      </x:c>
      <x:c r="N12" s="25" t="str">
        <x:v>RR, 57 SF</x:v>
      </x:c>
      <x:c r="O12" s="25" t="str">
        <x:v>Single Solid Wood Swing</x:v>
      </x:c>
      <x:c r="P12" s="25" t="str">
        <x:v>Solid wood - warm light wood trim match</x:v>
      </x:c>
      <x:c r="Q12" s="25" t="str">
        <x:v>Single leaf</x:v>
      </x:c>
      <x:c r="R12" s="25" t="str">
        <x:v>Default: swing into associated room; auto-select jamb to avoid wall collision</x:v>
      </x:c>
      <x:c r="S12" s="25" t="str">
        <x:v>Auto-select jamb during build QA</x:v>
      </x:c>
      <x:c r="T12" s="25" t="str">
        <x:v>Auto-select / visual QA</x:v>
      </x:c>
      <x:c r="U12" s="25" t="str">
        <x:v>High</x:v>
      </x:c>
      <x:c r="V12" s="25" t="str">
        <x:v>Post-placement QA only</x:v>
      </x:c>
      <x:c r="W12" s="25" t="str">
        <x:v>Consolidated v2.4 door workbook + uploaded schematic SVGs + user restroom solid-wood privacy directive</x:v>
      </x:c>
      <x:c r="X12" s="26" t="str">
        <x:v>Nearest: F1-AAL (3.6 ft), F1-AAM (6.9 ft). | Graphic swing exists in schematic; exact hand/jamb not fully digitized in this pass. | Restroom privacy update: use solid wood door, warm light wood color matching existing-building wood trim/casing photos; do not use glass for RR doors.</x:v>
      </x:c>
    </x:row>
    <x:row r="13">
      <x:c r="A13" s="24" t="str">
        <x:v>F1-D012</x:v>
      </x:c>
      <x:c r="B13" s="25" t="str">
        <x:v>F1-DR-012</x:v>
      </x:c>
      <x:c r="C13" s="25" t="str">
        <x:v>F1</x:v>
      </x:c>
      <x:c r="D13" s="152" t="str">
        <x:v>Yes</x:v>
      </x:c>
      <x:c r="E13" s="152" t="str">
        <x:v>Deployable for first-pass spatial model</x:v>
      </x:c>
      <x:c r="F13" s="25" t="str">
        <x:v>3'-0" x 7'-0"</x:v>
      </x:c>
      <x:c r="G13" s="143" t="n">
        <x:v>3</x:v>
      </x:c>
      <x:c r="H13" s="143" t="n">
        <x:v>7</x:v>
      </x:c>
      <x:c r="I13" s="146" t="n">
        <x:v>2.289</x:v>
      </x:c>
      <x:c r="J13" s="146" t="n">
        <x:v>-3.259</x:v>
      </x:c>
      <x:c r="K13" s="146" t="n">
        <x:v>18.3</x:v>
      </x:c>
      <x:c r="L13" s="146" t="n">
        <x:v>-26.1</x:v>
      </x:c>
      <x:c r="M13" s="25" t="str">
        <x:v>F1-AAJ</x:v>
      </x:c>
      <x:c r="N13" s="25" t="str">
        <x:v>BREAK</x:v>
      </x:c>
      <x:c r="O13" s="25" t="str">
        <x:v>Single Glazed Swing</x:v>
      </x:c>
      <x:c r="P13" s="25" t="str">
        <x:v>Glass</x:v>
      </x:c>
      <x:c r="Q13" s="25" t="str">
        <x:v>Single leaf</x:v>
      </x:c>
      <x:c r="R13" s="25" t="str">
        <x:v>Default: swing into associated room; auto-select jamb to avoid wall collision</x:v>
      </x:c>
      <x:c r="S13" s="25" t="str">
        <x:v>Auto-select jamb during build QA</x:v>
      </x:c>
      <x:c r="T13" s="25" t="str">
        <x:v>Auto-select / visual QA</x:v>
      </x:c>
      <x:c r="U13" s="25" t="str">
        <x:v>High</x:v>
      </x:c>
      <x:c r="V13" s="25" t="str">
        <x:v>Post-placement QA only</x:v>
      </x:c>
      <x:c r="W13" s="25" t="str">
        <x:v>Consolidated v2.4 door workbook + uploaded schematic SVGs + user 3ft/6ft glass-door constraints</x:v>
      </x:c>
      <x:c r="X13" s="26" t="str">
        <x:v>Nearest: F1-AAJ (7.6 ft), F1-AAK (8.4 ft). | Graphic swing exists in schematic; exact hand/jamb not fully digitized in this pass.</x:v>
      </x:c>
    </x:row>
    <x:row r="14">
      <x:c r="A14" s="24" t="str">
        <x:v>F1-D013</x:v>
      </x:c>
      <x:c r="B14" s="25" t="str">
        <x:v>F1-DR-013</x:v>
      </x:c>
      <x:c r="C14" s="25" t="str">
        <x:v>F1</x:v>
      </x:c>
      <x:c r="D14" s="152" t="str">
        <x:v>Yes</x:v>
      </x:c>
      <x:c r="E14" s="152" t="str">
        <x:v>Deployable for first-pass spatial model</x:v>
      </x:c>
      <x:c r="F14" s="25" t="str">
        <x:v>3'-0" x 7'-0"</x:v>
      </x:c>
      <x:c r="G14" s="143" t="n">
        <x:v>3</x:v>
      </x:c>
      <x:c r="H14" s="143" t="n">
        <x:v>7</x:v>
      </x:c>
      <x:c r="I14" s="146" t="n">
        <x:v>2.608</x:v>
      </x:c>
      <x:c r="J14" s="146" t="n">
        <x:v>-6.524</x:v>
      </x:c>
      <x:c r="K14" s="146" t="n">
        <x:v>20.9</x:v>
      </x:c>
      <x:c r="L14" s="146" t="n">
        <x:v>-52.2</x:v>
      </x:c>
      <x:c r="M14" s="25" t="str">
        <x:v>F1-AAM</x:v>
      </x:c>
      <x:c r="N14" s="25" t="str">
        <x:v>FACILITY MGR.</x:v>
      </x:c>
      <x:c r="O14" s="25" t="str">
        <x:v>Single Glazed Swing</x:v>
      </x:c>
      <x:c r="P14" s="25" t="str">
        <x:v>Glass</x:v>
      </x:c>
      <x:c r="Q14" s="25" t="str">
        <x:v>Single leaf</x:v>
      </x:c>
      <x:c r="R14" s="25" t="str">
        <x:v>Default: swing into associated room; auto-select jamb to avoid wall collision</x:v>
      </x:c>
      <x:c r="S14" s="25" t="str">
        <x:v>Auto-select jamb during build QA</x:v>
      </x:c>
      <x:c r="T14" s="25" t="str">
        <x:v>Auto-select / visual QA</x:v>
      </x:c>
      <x:c r="U14" s="25" t="str">
        <x:v>High</x:v>
      </x:c>
      <x:c r="V14" s="25" t="str">
        <x:v>Post-placement QA only</x:v>
      </x:c>
      <x:c r="W14" s="25" t="str">
        <x:v>Consolidated v2.4 door workbook + uploaded schematic SVGs + user 3ft/6ft glass-door constraints</x:v>
      </x:c>
      <x:c r="X14" s="26" t="str">
        <x:v>Nearest: F1-AAM (4.6 ft), F1-AAO (6.4 ft). | Graphic swing exists in schematic; exact hand/jamb not fully digitized in this pass.</x:v>
      </x:c>
    </x:row>
    <x:row r="15">
      <x:c r="A15" s="24" t="str">
        <x:v>F1-D014</x:v>
      </x:c>
      <x:c r="B15" s="25" t="str">
        <x:v>F1-DR-014</x:v>
      </x:c>
      <x:c r="C15" s="25" t="str">
        <x:v>F1</x:v>
      </x:c>
      <x:c r="D15" s="152" t="str">
        <x:v>Yes</x:v>
      </x:c>
      <x:c r="E15" s="152" t="str">
        <x:v>Deployable for first-pass spatial model</x:v>
      </x:c>
      <x:c r="F15" s="25" t="str">
        <x:v>3'-0" x 7'-0"</x:v>
      </x:c>
      <x:c r="G15" s="143" t="n">
        <x:v>3</x:v>
      </x:c>
      <x:c r="H15" s="143" t="n">
        <x:v>7</x:v>
      </x:c>
      <x:c r="I15" s="146" t="n">
        <x:v>3.177</x:v>
      </x:c>
      <x:c r="J15" s="146" t="n">
        <x:v>-6.591</x:v>
      </x:c>
      <x:c r="K15" s="146" t="n">
        <x:v>25.4</x:v>
      </x:c>
      <x:c r="L15" s="146" t="n">
        <x:v>-52.7</x:v>
      </x:c>
      <x:c r="M15" s="25" t="str">
        <x:v>F1-AAO</x:v>
      </x:c>
      <x:c r="N15" s="25" t="str">
        <x:v>LAB MGR.</x:v>
      </x:c>
      <x:c r="O15" s="25" t="str">
        <x:v>Single Glazed Swing</x:v>
      </x:c>
      <x:c r="P15" s="25" t="str">
        <x:v>Glass</x:v>
      </x:c>
      <x:c r="Q15" s="25" t="str">
        <x:v>Single leaf</x:v>
      </x:c>
      <x:c r="R15" s="25" t="str">
        <x:v>Default: swing into associated room; auto-select jamb to avoid wall collision</x:v>
      </x:c>
      <x:c r="S15" s="25" t="str">
        <x:v>Auto-select jamb during build QA</x:v>
      </x:c>
      <x:c r="T15" s="25" t="str">
        <x:v>Auto-select / visual QA</x:v>
      </x:c>
      <x:c r="U15" s="25" t="str">
        <x:v>High</x:v>
      </x:c>
      <x:c r="V15" s="25" t="str">
        <x:v>Post-placement QA only</x:v>
      </x:c>
      <x:c r="W15" s="25" t="str">
        <x:v>Consolidated v2.4 door workbook + uploaded schematic SVGs + user 3ft/6ft glass-door constraints</x:v>
      </x:c>
      <x:c r="X15" s="26" t="str">
        <x:v>Nearest: F1-AAO (2.7 ft), F1-AAM (8.6 ft). | Graphic swing exists in schematic; exact hand/jamb not fully digitized in this pass.</x:v>
      </x:c>
    </x:row>
    <x:row r="16">
      <x:c r="A16" s="24" t="str">
        <x:v>F1-D015</x:v>
      </x:c>
      <x:c r="B16" s="25" t="str">
        <x:v>F1-DR-015</x:v>
      </x:c>
      <x:c r="C16" s="25" t="str">
        <x:v>F1</x:v>
      </x:c>
      <x:c r="D16" s="152" t="str">
        <x:v>Yes</x:v>
      </x:c>
      <x:c r="E16" s="152" t="str">
        <x:v>Deployable for first-pass spatial model</x:v>
      </x:c>
      <x:c r="F16" s="25" t="str">
        <x:v>6'-0" x 7'-0"</x:v>
      </x:c>
      <x:c r="G16" s="143" t="n">
        <x:v>6</x:v>
      </x:c>
      <x:c r="H16" s="143" t="n">
        <x:v>7</x:v>
      </x:c>
      <x:c r="I16" s="146" t="n">
        <x:v>3.55</x:v>
      </x:c>
      <x:c r="J16" s="146" t="n">
        <x:v>0.782</x:v>
      </x:c>
      <x:c r="K16" s="146" t="n">
        <x:v>28.4</x:v>
      </x:c>
      <x:c r="L16" s="146" t="n">
        <x:v>6.3</x:v>
      </x:c>
      <x:c r="M16" s="25" t="str">
        <x:v>GEN-F1-CORRIDOR</x:v>
      </x:c>
      <x:c r="N16" s="25" t="str">
        <x:v>Generic corridor / connector opening</x:v>
      </x:c>
      <x:c r="O16" s="25" t="str">
        <x:v>Double Glazed Corridor</x:v>
      </x:c>
      <x:c r="P16" s="25" t="str">
        <x:v>Glass</x:v>
      </x:c>
      <x:c r="Q16" s="25" t="str">
        <x:v>Double leaf pair</x:v>
      </x:c>
      <x:c r="R16" s="25" t="str">
        <x:v>Double pair centered in opening; use both jambs</x:v>
      </x:c>
      <x:c r="S16" s="25" t="str">
        <x:v>Both jambs / paired leaves</x:v>
      </x:c>
      <x:c r="T16" s="25" t="str">
        <x:v>Pair default</x:v>
      </x:c>
      <x:c r="U16" s="25" t="str">
        <x:v>Medium</x:v>
      </x:c>
      <x:c r="V16" s="25" t="str">
        <x:v>Post-placement QA only</x:v>
      </x:c>
      <x:c r="W16" s="25" t="str">
        <x:v>Consolidated v2.4 door workbook + uploaded schematic SVGs + user 3ft/6ft glass-door constraints</x:v>
      </x:c>
      <x:c r="X16" s="26" t="str">
        <x:v>Nearest: F1-AAI (2.7 ft), F1-ABY (12.1 ft). Entry/vestibule candidate. | Graphic swing exists in schematic; exact hand/jamb not fully digitized in this pass.</x:v>
      </x:c>
    </x:row>
    <x:row r="17">
      <x:c r="A17" s="24" t="str">
        <x:v>F1-D016</x:v>
      </x:c>
      <x:c r="B17" s="25" t="str">
        <x:v>F1-DR-016</x:v>
      </x:c>
      <x:c r="C17" s="25" t="str">
        <x:v>F1</x:v>
      </x:c>
      <x:c r="D17" s="152" t="str">
        <x:v>Yes</x:v>
      </x:c>
      <x:c r="E17" s="152" t="str">
        <x:v>Deployable for first-pass spatial model</x:v>
      </x:c>
      <x:c r="F17" s="25" t="str">
        <x:v>6'-0" x 7'-0"</x:v>
      </x:c>
      <x:c r="G17" s="143" t="n">
        <x:v>6</x:v>
      </x:c>
      <x:c r="H17" s="143" t="n">
        <x:v>7</x:v>
      </x:c>
      <x:c r="I17" s="146" t="n">
        <x:v>3.87</x:v>
      </x:c>
      <x:c r="J17" s="146" t="n">
        <x:v>0.191</x:v>
      </x:c>
      <x:c r="K17" s="146" t="n">
        <x:v>31</x:v>
      </x:c>
      <x:c r="L17" s="146" t="n">
        <x:v>1.5</x:v>
      </x:c>
      <x:c r="M17" s="25" t="str">
        <x:v>GEN-F1-CORRIDOR</x:v>
      </x:c>
      <x:c r="N17" s="25" t="str">
        <x:v>Generic corridor / connector opening</x:v>
      </x:c>
      <x:c r="O17" s="25" t="str">
        <x:v>Double Glazed Corridor</x:v>
      </x:c>
      <x:c r="P17" s="25" t="str">
        <x:v>Glass</x:v>
      </x:c>
      <x:c r="Q17" s="25" t="str">
        <x:v>Double leaf pair</x:v>
      </x:c>
      <x:c r="R17" s="25" t="str">
        <x:v>Double pair centered in opening; use both jambs</x:v>
      </x:c>
      <x:c r="S17" s="25" t="str">
        <x:v>Both jambs / paired leaves</x:v>
      </x:c>
      <x:c r="T17" s="25" t="str">
        <x:v>Pair default</x:v>
      </x:c>
      <x:c r="U17" s="25" t="str">
        <x:v>Medium</x:v>
      </x:c>
      <x:c r="V17" s="25" t="str">
        <x:v>Post-placement QA only</x:v>
      </x:c>
      <x:c r="W17" s="25" t="str">
        <x:v>Consolidated v2.4 door workbook + uploaded schematic SVGs + user 3ft/6ft glass-door constraints</x:v>
      </x:c>
      <x:c r="X17" s="26" t="str">
        <x:v>Nearest: F1-AAI (7.9 ft), F1-ABY (10.3 ft). Entry/vestibule candidate. | Graphic swing exists in schematic; exact hand/jamb not fully digitized in this pass.</x:v>
      </x:c>
    </x:row>
    <x:row r="18">
      <x:c r="A18" s="24" t="str">
        <x:v>F1-D017</x:v>
      </x:c>
      <x:c r="B18" s="25" t="str">
        <x:v>F1-DR-017</x:v>
      </x:c>
      <x:c r="C18" s="25" t="str">
        <x:v>F1</x:v>
      </x:c>
      <x:c r="D18" s="152" t="str">
        <x:v>Yes</x:v>
      </x:c>
      <x:c r="E18" s="152" t="str">
        <x:v>Deployable for first-pass spatial model</x:v>
      </x:c>
      <x:c r="F18" s="25" t="str">
        <x:v>3'-0" x 7'-0"</x:v>
      </x:c>
      <x:c r="G18" s="143" t="n">
        <x:v>3</x:v>
      </x:c>
      <x:c r="H18" s="143" t="n">
        <x:v>7</x:v>
      </x:c>
      <x:c r="I18" s="146" t="n">
        <x:v>3.974</x:v>
      </x:c>
      <x:c r="J18" s="146" t="n">
        <x:v>-5.997</x:v>
      </x:c>
      <x:c r="K18" s="146" t="n">
        <x:v>31.8</x:v>
      </x:c>
      <x:c r="L18" s="146" t="n">
        <x:v>-48</x:v>
      </x:c>
      <x:c r="M18" s="25" t="str">
        <x:v>F1-AAN</x:v>
      </x:c>
      <x:c r="N18" s="25" t="str">
        <x:v>RR, 120 SF</x:v>
      </x:c>
      <x:c r="O18" s="25" t="str">
        <x:v>Single Solid Wood Swing</x:v>
      </x:c>
      <x:c r="P18" s="25" t="str">
        <x:v>Solid wood - warm light wood trim match</x:v>
      </x:c>
      <x:c r="Q18" s="25" t="str">
        <x:v>Single leaf</x:v>
      </x:c>
      <x:c r="R18" s="25" t="str">
        <x:v>Default: swing into associated room; auto-select jamb to avoid wall collision</x:v>
      </x:c>
      <x:c r="S18" s="25" t="str">
        <x:v>Auto-select jamb during build QA</x:v>
      </x:c>
      <x:c r="T18" s="25" t="str">
        <x:v>Auto-select / visual QA</x:v>
      </x:c>
      <x:c r="U18" s="25" t="str">
        <x:v>High</x:v>
      </x:c>
      <x:c r="V18" s="25" t="str">
        <x:v>Post-placement QA only</x:v>
      </x:c>
      <x:c r="W18" s="25" t="str">
        <x:v>Consolidated v2.4 door workbook + uploaded schematic SVGs + user restroom solid-wood privacy directive</x:v>
      </x:c>
      <x:c r="X18" s="26" t="str">
        <x:v>Nearest: F1-AAN (8.3 ft), F1-AAO (8.9 ft). | Graphic swing exists in schematic; exact hand/jamb not fully digitized in this pass. | Restroom privacy update: use solid wood door, warm light wood color matching existing-building wood trim/casing photos; do not use glass for RR doors.</x:v>
      </x:c>
    </x:row>
    <x:row r="19">
      <x:c r="A19" s="24" t="str">
        <x:v>F1-D018</x:v>
      </x:c>
      <x:c r="B19" s="25" t="str">
        <x:v>F1-DR-018</x:v>
      </x:c>
      <x:c r="C19" s="25" t="str">
        <x:v>F1</x:v>
      </x:c>
      <x:c r="D19" s="152" t="str">
        <x:v>Yes</x:v>
      </x:c>
      <x:c r="E19" s="152" t="str">
        <x:v>Deployable for first-pass spatial model</x:v>
      </x:c>
      <x:c r="F19" s="25" t="str">
        <x:v>3'-0" x 7'-0"</x:v>
      </x:c>
      <x:c r="G19" s="143" t="n">
        <x:v>3</x:v>
      </x:c>
      <x:c r="H19" s="143" t="n">
        <x:v>7</x:v>
      </x:c>
      <x:c r="I19" s="146" t="n">
        <x:v>5.063</x:v>
      </x:c>
      <x:c r="J19" s="146" t="n">
        <x:v>-4.489</x:v>
      </x:c>
      <x:c r="K19" s="146" t="n">
        <x:v>40.5</x:v>
      </x:c>
      <x:c r="L19" s="146" t="n">
        <x:v>-35.9</x:v>
      </x:c>
      <x:c r="M19" s="25" t="str">
        <x:v>F1-AAQ</x:v>
      </x:c>
      <x:c r="N19" s="25" t="str">
        <x:v>JAN / Janitorial</x:v>
      </x:c>
      <x:c r="O19" s="25" t="str">
        <x:v>Single Glazed Swing</x:v>
      </x:c>
      <x:c r="P19" s="25" t="str">
        <x:v>Glass</x:v>
      </x:c>
      <x:c r="Q19" s="25" t="str">
        <x:v>Single leaf</x:v>
      </x:c>
      <x:c r="R19" s="25" t="str">
        <x:v>Default: swing into associated room; auto-select jamb to avoid wall collision</x:v>
      </x:c>
      <x:c r="S19" s="25" t="str">
        <x:v>Auto-select jamb during build QA</x:v>
      </x:c>
      <x:c r="T19" s="25" t="str">
        <x:v>Auto-select / visual QA</x:v>
      </x:c>
      <x:c r="U19" s="25" t="str">
        <x:v>Medium</x:v>
      </x:c>
      <x:c r="V19" s="25" t="str">
        <x:v>Post-placement QA only</x:v>
      </x:c>
      <x:c r="W19" s="25" t="str">
        <x:v>Consolidated v2.4 door workbook + uploaded schematic SVGs + user 3ft/6ft glass-door constraints</x:v>
      </x:c>
      <x:c r="X19" s="26" t="str">
        <x:v>Nearest: F1-AAQ (9.5 ft), F1-AAN (12.9 ft). Gemini ID/name conflict; master crosswalk controls F1-AAQ/F1-AAR/F1-AAS. | Graphic swing exists in schematic; exact hand/jamb not fully digitized in this pass.</x:v>
      </x:c>
    </x:row>
    <x:row r="20">
      <x:c r="A20" s="24" t="str">
        <x:v>F1-D019</x:v>
      </x:c>
      <x:c r="B20" s="25" t="str">
        <x:v>F1-DR-019</x:v>
      </x:c>
      <x:c r="C20" s="25" t="str">
        <x:v>F1</x:v>
      </x:c>
      <x:c r="D20" s="152" t="str">
        <x:v>Yes</x:v>
      </x:c>
      <x:c r="E20" s="152" t="str">
        <x:v>Deployable for first-pass spatial model</x:v>
      </x:c>
      <x:c r="F20" s="25" t="str">
        <x:v>6'-0" x 7'-0"</x:v>
      </x:c>
      <x:c r="G20" s="143" t="n">
        <x:v>6</x:v>
      </x:c>
      <x:c r="H20" s="143" t="n">
        <x:v>7</x:v>
      </x:c>
      <x:c r="I20" s="146" t="n">
        <x:v>5.298</x:v>
      </x:c>
      <x:c r="J20" s="146" t="n">
        <x:v>-3.946</x:v>
      </x:c>
      <x:c r="K20" s="146" t="n">
        <x:v>42.4</x:v>
      </x:c>
      <x:c r="L20" s="146" t="n">
        <x:v>-31.6</x:v>
      </x:c>
      <x:c r="M20" s="25" t="str">
        <x:v>GEN-F1-CORRIDOR</x:v>
      </x:c>
      <x:c r="N20" s="25" t="str">
        <x:v>Generic corridor / connector opening</x:v>
      </x:c>
      <x:c r="O20" s="25" t="str">
        <x:v>Double Glazed Corridor</x:v>
      </x:c>
      <x:c r="P20" s="25" t="str">
        <x:v>Glass</x:v>
      </x:c>
      <x:c r="Q20" s="25" t="str">
        <x:v>Double leaf pair</x:v>
      </x:c>
      <x:c r="R20" s="25" t="str">
        <x:v>Double pair centered in opening; use both jambs</x:v>
      </x:c>
      <x:c r="S20" s="25" t="str">
        <x:v>Both jambs / paired leaves</x:v>
      </x:c>
      <x:c r="T20" s="25" t="str">
        <x:v>Pair default</x:v>
      </x:c>
      <x:c r="U20" s="25" t="str">
        <x:v>Medium</x:v>
      </x:c>
      <x:c r="V20" s="25" t="str">
        <x:v>Post-placement QA only</x:v>
      </x:c>
      <x:c r="W20" s="25" t="str">
        <x:v>Consolidated v2.4 door workbook + uploaded schematic SVGs + user 3ft/6ft glass-door constraints</x:v>
      </x:c>
      <x:c r="X20" s="26" t="str">
        <x:v>Nearest: F1-AAQ (12.0 ft), F1-AAR (12.5 ft). Master crosswalk controls F1-AAQ/F1-AAR/F1-AAS. | Graphic swing exists in schematic; exact hand/jamb not fully digitized in this pass.</x:v>
      </x:c>
    </x:row>
    <x:row r="21">
      <x:c r="A21" s="24" t="str">
        <x:v>F1-D020</x:v>
      </x:c>
      <x:c r="B21" s="25" t="str">
        <x:v>F1-DR-020</x:v>
      </x:c>
      <x:c r="C21" s="25" t="str">
        <x:v>F1</x:v>
      </x:c>
      <x:c r="D21" s="152" t="str">
        <x:v>Yes</x:v>
      </x:c>
      <x:c r="E21" s="152" t="str">
        <x:v>Deployable for first-pass spatial model</x:v>
      </x:c>
      <x:c r="F21" s="25" t="str">
        <x:v>6'-0" x 7'-0"</x:v>
      </x:c>
      <x:c r="G21" s="143" t="n">
        <x:v>6</x:v>
      </x:c>
      <x:c r="H21" s="143" t="n">
        <x:v>7</x:v>
      </x:c>
      <x:c r="I21" s="146" t="n">
        <x:v>5.534</x:v>
      </x:c>
      <x:c r="J21" s="146" t="n">
        <x:v>-2.388</x:v>
      </x:c>
      <x:c r="K21" s="146" t="n">
        <x:v>44.3</x:v>
      </x:c>
      <x:c r="L21" s="146" t="n">
        <x:v>-19.1</x:v>
      </x:c>
      <x:c r="M21" s="25" t="str">
        <x:v>GEN-F1-CORRIDOR</x:v>
      </x:c>
      <x:c r="N21" s="25" t="str">
        <x:v>Generic corridor / connector opening</x:v>
      </x:c>
      <x:c r="O21" s="25" t="str">
        <x:v>Double Glazed Corridor</x:v>
      </x:c>
      <x:c r="P21" s="25" t="str">
        <x:v>Glass</x:v>
      </x:c>
      <x:c r="Q21" s="25" t="str">
        <x:v>Double leaf pair</x:v>
      </x:c>
      <x:c r="R21" s="25" t="str">
        <x:v>Double pair centered in opening; use both jambs</x:v>
      </x:c>
      <x:c r="S21" s="25" t="str">
        <x:v>Both jambs / paired leaves</x:v>
      </x:c>
      <x:c r="T21" s="25" t="str">
        <x:v>Pair default</x:v>
      </x:c>
      <x:c r="U21" s="25" t="str">
        <x:v>Medium</x:v>
      </x:c>
      <x:c r="V21" s="25" t="str">
        <x:v>Post-placement QA only</x:v>
      </x:c>
      <x:c r="W21" s="25" t="str">
        <x:v>Consolidated v2.4 door workbook + uploaded schematic SVGs + user 3ft/6ft glass-door constraints</x:v>
      </x:c>
      <x:c r="X21" s="26" t="str">
        <x:v>Nearest: F1-AAR (14.4 ft), F1-AAS (15.5 ft). Master crosswalk controls F1-AAQ/F1-AAR/F1-AAS. | Graphic swing exists in schematic; exact hand/jamb not fully digitized in this pass.</x:v>
      </x:c>
    </x:row>
    <x:row r="22">
      <x:c r="A22" s="24" t="str">
        <x:v>F1-D021</x:v>
      </x:c>
      <x:c r="B22" s="25" t="str">
        <x:v>F1-DR-021</x:v>
      </x:c>
      <x:c r="C22" s="25" t="str">
        <x:v>F1</x:v>
      </x:c>
      <x:c r="D22" s="152" t="str">
        <x:v>Yes</x:v>
      </x:c>
      <x:c r="E22" s="152" t="str">
        <x:v>Deployable for first-pass spatial model</x:v>
      </x:c>
      <x:c r="F22" s="25" t="str">
        <x:v>3'-0" x 7'-0"</x:v>
      </x:c>
      <x:c r="G22" s="143" t="n">
        <x:v>3</x:v>
      </x:c>
      <x:c r="H22" s="143" t="n">
        <x:v>7</x:v>
      </x:c>
      <x:c r="I22" s="146" t="n">
        <x:v>5.599</x:v>
      </x:c>
      <x:c r="J22" s="146" t="n">
        <x:v>-6.238</x:v>
      </x:c>
      <x:c r="K22" s="146" t="n">
        <x:v>44.8</x:v>
      </x:c>
      <x:c r="L22" s="146" t="n">
        <x:v>-49.9</x:v>
      </x:c>
      <x:c r="M22" s="25" t="str">
        <x:v>F1-AAP</x:v>
      </x:c>
      <x:c r="N22" s="25" t="str">
        <x:v>FLEX / Multipurpose</x:v>
      </x:c>
      <x:c r="O22" s="25" t="str">
        <x:v>Single Glazed Swing</x:v>
      </x:c>
      <x:c r="P22" s="25" t="str">
        <x:v>Glass</x:v>
      </x:c>
      <x:c r="Q22" s="25" t="str">
        <x:v>Single leaf</x:v>
      </x:c>
      <x:c r="R22" s="25" t="str">
        <x:v>Default: swing into associated room; auto-select jamb to avoid wall collision</x:v>
      </x:c>
      <x:c r="S22" s="25" t="str">
        <x:v>Auto-select jamb during build QA</x:v>
      </x:c>
      <x:c r="T22" s="25" t="str">
        <x:v>Auto-select / visual QA</x:v>
      </x:c>
      <x:c r="U22" s="25" t="str">
        <x:v>High</x:v>
      </x:c>
      <x:c r="V22" s="25" t="str">
        <x:v>Post-placement QA only</x:v>
      </x:c>
      <x:c r="W22" s="25" t="str">
        <x:v>Consolidated v2.4 door workbook + uploaded schematic SVGs + user 3ft/6ft glass-door constraints</x:v>
      </x:c>
      <x:c r="X22" s="26" t="str">
        <x:v>Nearest: F1-AAP (6.3 ft), F1-AAQ (7.8 ft). Master crosswalk controls F1-AAQ/F1-AAR/F1-AAS. | Graphic swing exists in schematic; exact hand/jamb not fully digitized in this pass.</x:v>
      </x:c>
    </x:row>
    <x:row r="23">
      <x:c r="A23" s="24" t="str">
        <x:v>F1-D022</x:v>
      </x:c>
      <x:c r="B23" s="25" t="str">
        <x:v>F1-DR-022</x:v>
      </x:c>
      <x:c r="C23" s="25" t="str">
        <x:v>F1</x:v>
      </x:c>
      <x:c r="D23" s="152" t="str">
        <x:v>Yes</x:v>
      </x:c>
      <x:c r="E23" s="152" t="str">
        <x:v>Deployable for first-pass spatial model</x:v>
      </x:c>
      <x:c r="F23" s="25" t="str">
        <x:v>3'-0" x 7'-0"</x:v>
      </x:c>
      <x:c r="G23" s="143" t="n">
        <x:v>3</x:v>
      </x:c>
      <x:c r="H23" s="143" t="n">
        <x:v>7</x:v>
      </x:c>
      <x:c r="I23" s="146" t="n">
        <x:v>5.864</x:v>
      </x:c>
      <x:c r="J23" s="146" t="n">
        <x:v>-5.206</x:v>
      </x:c>
      <x:c r="K23" s="146" t="n">
        <x:v>46.9</x:v>
      </x:c>
      <x:c r="L23" s="146" t="n">
        <x:v>-41.6</x:v>
      </x:c>
      <x:c r="M23" s="25" t="str">
        <x:v>F1-AAQ</x:v>
      </x:c>
      <x:c r="N23" s="25" t="str">
        <x:v>JAN / Janitorial</x:v>
      </x:c>
      <x:c r="O23" s="25" t="str">
        <x:v>Single Glazed Swing</x:v>
      </x:c>
      <x:c r="P23" s="25" t="str">
        <x:v>Glass</x:v>
      </x:c>
      <x:c r="Q23" s="25" t="str">
        <x:v>Single leaf</x:v>
      </x:c>
      <x:c r="R23" s="25" t="str">
        <x:v>Default: swing into associated room; auto-select jamb to avoid wall collision</x:v>
      </x:c>
      <x:c r="S23" s="25" t="str">
        <x:v>Auto-select jamb during build QA</x:v>
      </x:c>
      <x:c r="T23" s="25" t="str">
        <x:v>Auto-select / visual QA</x:v>
      </x:c>
      <x:c r="U23" s="25" t="str">
        <x:v>Medium</x:v>
      </x:c>
      <x:c r="V23" s="25" t="str">
        <x:v>Post-placement QA only</x:v>
      </x:c>
      <x:c r="W23" s="25" t="str">
        <x:v>Consolidated v2.4 door workbook + uploaded schematic SVGs + user 3ft/6ft glass-door constraints</x:v>
      </x:c>
      <x:c r="X23" s="26" t="str">
        <x:v>Nearest: F1-AAQ (1.0 ft), F1-AAP (11.9 ft). Gemini ID/name conflict; F1-AAQ = JAN. | Graphic swing exists in schematic; exact hand/jamb not fully digitized in this pass.</x:v>
      </x:c>
    </x:row>
    <x:row r="24">
      <x:c r="A24" s="24" t="str">
        <x:v>F1-D023</x:v>
      </x:c>
      <x:c r="B24" s="25" t="str">
        <x:v>F1-DR-023</x:v>
      </x:c>
      <x:c r="C24" s="25" t="str">
        <x:v>F1</x:v>
      </x:c>
      <x:c r="D24" s="152" t="str">
        <x:v>Yes</x:v>
      </x:c>
      <x:c r="E24" s="152" t="str">
        <x:v>Deployable for first-pass spatial model</x:v>
      </x:c>
      <x:c r="F24" s="25" t="str">
        <x:v>6'-0" x 7'-0"</x:v>
      </x:c>
      <x:c r="G24" s="143" t="n">
        <x:v>6</x:v>
      </x:c>
      <x:c r="H24" s="143" t="n">
        <x:v>7</x:v>
      </x:c>
      <x:c r="I24" s="146" t="n">
        <x:v>7.128</x:v>
      </x:c>
      <x:c r="J24" s="146" t="n">
        <x:v>-5.595</x:v>
      </x:c>
      <x:c r="K24" s="146" t="n">
        <x:v>57</x:v>
      </x:c>
      <x:c r="L24" s="146" t="n">
        <x:v>-44.8</x:v>
      </x:c>
      <x:c r="M24" s="25" t="str">
        <x:v>GEN-F1-CORRIDOR</x:v>
      </x:c>
      <x:c r="N24" s="25" t="str">
        <x:v>Generic corridor / connector opening</x:v>
      </x:c>
      <x:c r="O24" s="25" t="str">
        <x:v>Double Glazed Corridor</x:v>
      </x:c>
      <x:c r="P24" s="25" t="str">
        <x:v>Glass</x:v>
      </x:c>
      <x:c r="Q24" s="25" t="str">
        <x:v>Double leaf pair</x:v>
      </x:c>
      <x:c r="R24" s="25" t="str">
        <x:v>Double pair centered in opening; use both jambs</x:v>
      </x:c>
      <x:c r="S24" s="25" t="str">
        <x:v>Both jambs / paired leaves</x:v>
      </x:c>
      <x:c r="T24" s="25" t="str">
        <x:v>Pair default</x:v>
      </x:c>
      <x:c r="U24" s="25" t="str">
        <x:v>Medium</x:v>
      </x:c>
      <x:c r="V24" s="25" t="str">
        <x:v>Post-placement QA only</x:v>
      </x:c>
      <x:c r="W24" s="25" t="str">
        <x:v>Consolidated v2.4 door workbook + uploaded schematic SVGs + user 3ft/6ft glass-door constraints</x:v>
      </x:c>
      <x:c r="X24" s="26" t="str">
        <x:v>Nearest: F1-AAQ (9.9 ft), F1-AAP (10.8 ft). Master crosswalk controls F1-AAQ/F1-AAR/F1-AAS. | Graphic swing exists in schematic; exact hand/jamb not fully digitized in this pass.</x:v>
      </x:c>
    </x:row>
    <x:row r="25">
      <x:c r="A25" s="24" t="str">
        <x:v>F1-D024</x:v>
      </x:c>
      <x:c r="B25" s="25" t="str">
        <x:v>F1-DR-024</x:v>
      </x:c>
      <x:c r="C25" s="25" t="str">
        <x:v>F1</x:v>
      </x:c>
      <x:c r="D25" s="152" t="str">
        <x:v>Yes</x:v>
      </x:c>
      <x:c r="E25" s="152" t="str">
        <x:v>Deployable for first-pass spatial model</x:v>
      </x:c>
      <x:c r="F25" s="25" t="str">
        <x:v>6'-0" x 7'-0"</x:v>
      </x:c>
      <x:c r="G25" s="143" t="n">
        <x:v>6</x:v>
      </x:c>
      <x:c r="H25" s="143" t="n">
        <x:v>7</x:v>
      </x:c>
      <x:c r="I25" s="146" t="n">
        <x:v>8.863</x:v>
      </x:c>
      <x:c r="J25" s="146" t="n">
        <x:v>1.581</x:v>
      </x:c>
      <x:c r="K25" s="146" t="n">
        <x:v>70.9</x:v>
      </x:c>
      <x:c r="L25" s="146" t="n">
        <x:v>12.7</x:v>
      </x:c>
      <x:c r="M25" s="25" t="str">
        <x:v>GEN-F1-CORRIDOR</x:v>
      </x:c>
      <x:c r="N25" s="25" t="str">
        <x:v>Generic corridor / connector opening</x:v>
      </x:c>
      <x:c r="O25" s="25" t="str">
        <x:v>Double Glazed Corridor</x:v>
      </x:c>
      <x:c r="P25" s="25" t="str">
        <x:v>Glass</x:v>
      </x:c>
      <x:c r="Q25" s="25" t="str">
        <x:v>Double leaf pair</x:v>
      </x:c>
      <x:c r="R25" s="25" t="str">
        <x:v>Double pair centered in opening; use both jambs</x:v>
      </x:c>
      <x:c r="S25" s="25" t="str">
        <x:v>Both jambs / paired leaves</x:v>
      </x:c>
      <x:c r="T25" s="25" t="str">
        <x:v>Pair default</x:v>
      </x:c>
      <x:c r="U25" s="25" t="str">
        <x:v>Medium</x:v>
      </x:c>
      <x:c r="V25" s="25" t="str">
        <x:v>Post-placement QA only</x:v>
      </x:c>
      <x:c r="W25" s="25" t="str">
        <x:v>Consolidated v2.4 door workbook + uploaded schematic SVGs + user 3ft/6ft glass-door constraints</x:v>
      </x:c>
      <x:c r="X25" s="26" t="str">
        <x:v>Nearest: F1-AAS (28.5 ft), F1-AAW (33.3 ft). High-bay-entry/corridor marker. | Graphic swing exists in schematic; exact hand/jamb not fully digitized in this pass.</x:v>
      </x:c>
    </x:row>
    <x:row r="26">
      <x:c r="A26" s="24" t="str">
        <x:v>F1-D025</x:v>
      </x:c>
      <x:c r="B26" s="25" t="str">
        <x:v>F1-DR-025</x:v>
      </x:c>
      <x:c r="C26" s="25" t="str">
        <x:v>F1</x:v>
      </x:c>
      <x:c r="D26" s="152" t="str">
        <x:v>Yes</x:v>
      </x:c>
      <x:c r="E26" s="152" t="str">
        <x:v>Deployable for first-pass spatial model</x:v>
      </x:c>
      <x:c r="F26" s="25" t="str">
        <x:v>6'-0" x 7'-0"</x:v>
      </x:c>
      <x:c r="G26" s="143" t="n">
        <x:v>6</x:v>
      </x:c>
      <x:c r="H26" s="143" t="n">
        <x:v>7</x:v>
      </x:c>
      <x:c r="I26" s="146" t="n">
        <x:v>9.076</x:v>
      </x:c>
      <x:c r="J26" s="146" t="n">
        <x:v>-3.19</x:v>
      </x:c>
      <x:c r="K26" s="146" t="n">
        <x:v>72.6</x:v>
      </x:c>
      <x:c r="L26" s="146" t="n">
        <x:v>-25.5</x:v>
      </x:c>
      <x:c r="M26" s="25" t="str">
        <x:v>GEN-F1-CORRIDOR</x:v>
      </x:c>
      <x:c r="N26" s="25" t="str">
        <x:v>Generic corridor / connector opening</x:v>
      </x:c>
      <x:c r="O26" s="25" t="str">
        <x:v>Double Glazed Corridor</x:v>
      </x:c>
      <x:c r="P26" s="25" t="str">
        <x:v>Glass</x:v>
      </x:c>
      <x:c r="Q26" s="25" t="str">
        <x:v>Double leaf pair</x:v>
      </x:c>
      <x:c r="R26" s="25" t="str">
        <x:v>Double pair centered in opening; use both jambs</x:v>
      </x:c>
      <x:c r="S26" s="25" t="str">
        <x:v>Both jambs / paired leaves</x:v>
      </x:c>
      <x:c r="T26" s="25" t="str">
        <x:v>Pair default</x:v>
      </x:c>
      <x:c r="U26" s="25" t="str">
        <x:v>Medium</x:v>
      </x:c>
      <x:c r="V26" s="25" t="str">
        <x:v>Post-placement QA only</x:v>
      </x:c>
      <x:c r="W26" s="25" t="str">
        <x:v>Consolidated v2.4 door workbook + uploaded schematic SVGs + user 3ft/6ft glass-door constraints</x:v>
      </x:c>
      <x:c r="X26" s="26" t="str">
        <x:v>Nearest: F1-AAR (18.3 ft), F1-AAS (18.9 ft). Master crosswalk controls F1-AAQ/F1-AAR/F1-AAS. | Graphic swing exists in schematic; exact hand/jamb not fully digitized in this pass.</x:v>
      </x:c>
    </x:row>
    <x:row r="27">
      <x:c r="A27" s="24" t="str">
        <x:v>F1-D026</x:v>
      </x:c>
      <x:c r="B27" s="25" t="str">
        <x:v>F1-DR-026</x:v>
      </x:c>
      <x:c r="C27" s="25" t="str">
        <x:v>F1</x:v>
      </x:c>
      <x:c r="D27" s="152" t="str">
        <x:v>Yes</x:v>
      </x:c>
      <x:c r="E27" s="152" t="str">
        <x:v>Deployable for first-pass spatial model</x:v>
      </x:c>
      <x:c r="F27" s="25" t="str">
        <x:v>3'-0" x 7'-0"</x:v>
      </x:c>
      <x:c r="G27" s="143" t="n">
        <x:v>3</x:v>
      </x:c>
      <x:c r="H27" s="143" t="n">
        <x:v>7</x:v>
      </x:c>
      <x:c r="I27" s="146" t="n">
        <x:v>9.134</x:v>
      </x:c>
      <x:c r="J27" s="146" t="n">
        <x:v>-2.223</x:v>
      </x:c>
      <x:c r="K27" s="146" t="n">
        <x:v>73.1</x:v>
      </x:c>
      <x:c r="L27" s="146" t="n">
        <x:v>-17.8</x:v>
      </x:c>
      <x:c r="M27" s="25" t="str">
        <x:v>F1-AAS</x:v>
      </x:c>
      <x:c r="N27" s="25" t="str">
        <x:v>TESTING</x:v>
      </x:c>
      <x:c r="O27" s="25" t="str">
        <x:v>Single Glazed Swing</x:v>
      </x:c>
      <x:c r="P27" s="25" t="str">
        <x:v>Glass</x:v>
      </x:c>
      <x:c r="Q27" s="25" t="str">
        <x:v>Single leaf</x:v>
      </x:c>
      <x:c r="R27" s="25" t="str">
        <x:v>Default: swing into associated room; auto-select jamb to avoid wall collision</x:v>
      </x:c>
      <x:c r="S27" s="25" t="str">
        <x:v>Auto-select jamb during build QA</x:v>
      </x:c>
      <x:c r="T27" s="25" t="str">
        <x:v>Auto-select / visual QA</x:v>
      </x:c>
      <x:c r="U27" s="25" t="str">
        <x:v>Medium</x:v>
      </x:c>
      <x:c r="V27" s="25" t="str">
        <x:v>Post-placement QA only</x:v>
      </x:c>
      <x:c r="W27" s="25" t="str">
        <x:v>Consolidated v2.4 door workbook + uploaded schematic SVGs + user 3ft/6ft glass-door constraints</x:v>
      </x:c>
      <x:c r="X27" s="26" t="str">
        <x:v>Nearest: F1-AAS (15.4 ft), F1-AAR (21.6 ft). F1-AAS = TESTING. | Graphic swing exists in schematic; exact hand/jamb not fully digitized in this pass.</x:v>
      </x:c>
    </x:row>
    <x:row r="28">
      <x:c r="A28" s="24" t="str">
        <x:v>F1-D027</x:v>
      </x:c>
      <x:c r="B28" s="25" t="str">
        <x:v>F1-DR-027</x:v>
      </x:c>
      <x:c r="C28" s="25" t="str">
        <x:v>F1</x:v>
      </x:c>
      <x:c r="D28" s="152" t="str">
        <x:v>Yes</x:v>
      </x:c>
      <x:c r="E28" s="152" t="str">
        <x:v>Deployable for first-pass spatial model</x:v>
      </x:c>
      <x:c r="F28" s="25" t="str">
        <x:v>6'-0" x 7'-0"</x:v>
      </x:c>
      <x:c r="G28" s="143" t="n">
        <x:v>6</x:v>
      </x:c>
      <x:c r="H28" s="143" t="n">
        <x:v>7</x:v>
      </x:c>
      <x:c r="I28" s="146" t="n">
        <x:v>9.232</x:v>
      </x:c>
      <x:c r="J28" s="146" t="n">
        <x:v>-0.076</x:v>
      </x:c>
      <x:c r="K28" s="146" t="n">
        <x:v>73.9</x:v>
      </x:c>
      <x:c r="L28" s="146" t="n">
        <x:v>-0.6</x:v>
      </x:c>
      <x:c r="M28" s="25" t="str">
        <x:v>GEN-F1-CORRIDOR</x:v>
      </x:c>
      <x:c r="N28" s="25" t="str">
        <x:v>Generic corridor / connector opening</x:v>
      </x:c>
      <x:c r="O28" s="25" t="str">
        <x:v>Double Glazed Corridor</x:v>
      </x:c>
      <x:c r="P28" s="25" t="str">
        <x:v>Glass</x:v>
      </x:c>
      <x:c r="Q28" s="25" t="str">
        <x:v>Double leaf pair</x:v>
      </x:c>
      <x:c r="R28" s="25" t="str">
        <x:v>Double pair centered in opening; use both jambs</x:v>
      </x:c>
      <x:c r="S28" s="25" t="str">
        <x:v>Both jambs / paired leaves</x:v>
      </x:c>
      <x:c r="T28" s="25" t="str">
        <x:v>Pair default</x:v>
      </x:c>
      <x:c r="U28" s="25" t="str">
        <x:v>Medium</x:v>
      </x:c>
      <x:c r="V28" s="25" t="str">
        <x:v>Post-placement QA only</x:v>
      </x:c>
      <x:c r="W28" s="25" t="str">
        <x:v>Consolidated v2.4 door workbook + uploaded schematic SVGs + user 3ft/6ft glass-door constraints</x:v>
      </x:c>
      <x:c r="X28" s="26" t="str">
        <x:v>Nearest: F1-AAS (19.7 ft), F1-AAR (34.3 ft). High-bay-entry/corridor marker. | Graphic swing exists in schematic; exact hand/jamb not fully digitized in this pass.</x:v>
      </x:c>
    </x:row>
    <x:row r="29">
      <x:c r="A29" s="24" t="str">
        <x:v>F1-D028</x:v>
      </x:c>
      <x:c r="B29" s="25" t="str">
        <x:v>F1-DR-028</x:v>
      </x:c>
      <x:c r="C29" s="25" t="str">
        <x:v>F1</x:v>
      </x:c>
      <x:c r="D29" s="152" t="str">
        <x:v>Yes - flagged</x:v>
      </x:c>
      <x:c r="E29" s="152" t="str">
        <x:v>Pre-build visual check</x:v>
      </x:c>
      <x:c r="F29" s="25" t="str">
        <x:v>3'-0" x 8'-0"</x:v>
      </x:c>
      <x:c r="G29" s="143" t="n">
        <x:v>3</x:v>
      </x:c>
      <x:c r="H29" s="143" t="n">
        <x:v>8</x:v>
      </x:c>
      <x:c r="I29" s="146" t="n">
        <x:v>11.275</x:v>
      </x:c>
      <x:c r="J29" s="146" t="n">
        <x:v>11.611</x:v>
      </x:c>
      <x:c r="K29" s="146" t="n">
        <x:v>90.2</x:v>
      </x:c>
      <x:c r="L29" s="146" t="n">
        <x:v>92.9</x:v>
      </x:c>
      <x:c r="M29" s="25" t="str">
        <x:v>F1-AAW</x:v>
      </x:c>
      <x:c r="N29" s="25" t="str">
        <x:v>HIGH-BAY PRODUCTION LABS</x:v>
      </x:c>
      <x:c r="O29" s="25" t="str">
        <x:v>Single Glazed Exterior</x:v>
      </x:c>
      <x:c r="P29" s="25" t="str">
        <x:v>Glass</x:v>
      </x:c>
      <x:c r="Q29" s="25" t="str">
        <x:v>Single leaf</x:v>
      </x:c>
      <x:c r="R29" s="25" t="str">
        <x:v>Exterior/service doors swing outward</x:v>
      </x:c>
      <x:c r="S29" s="25" t="str">
        <x:v>Auto-select jamb during build QA</x:v>
      </x:c>
      <x:c r="T29" s="25" t="str">
        <x:v>Auto-select / visual QA</x:v>
      </x:c>
      <x:c r="U29" s="25" t="str">
        <x:v>Medium</x:v>
      </x:c>
      <x:c r="V29" s="25" t="str">
        <x:v>Build only after quick high-bay/exterior opening check</x:v>
      </x:c>
      <x:c r="W29" s="25" t="str">
        <x:v>Consolidated v2.4 door workbook + uploaded schematic SVGs + user 3ft/6ft glass-door constraints</x:v>
      </x:c>
      <x:c r="X29" s="26" t="str">
        <x:v>Nearest: F1-AAW (68.0 ft), F1-AAI (104.3 ft). Verify against explicit high-bay door callout. | Graphic swing exists in schematic; exact hand/jamb not fully digitized in this pass.</x:v>
      </x:c>
    </x:row>
    <x:row r="30">
      <x:c r="A30" s="24" t="str">
        <x:v>F1-D029</x:v>
      </x:c>
      <x:c r="B30" s="25" t="str">
        <x:v>F1-DR-029</x:v>
      </x:c>
      <x:c r="C30" s="25" t="str">
        <x:v>F1</x:v>
      </x:c>
      <x:c r="D30" s="152" t="str">
        <x:v>Yes</x:v>
      </x:c>
      <x:c r="E30" s="152" t="str">
        <x:v>Deployable for first-pass spatial model</x:v>
      </x:c>
      <x:c r="F30" s="25" t="str">
        <x:v>6'-0" x 8'-0"</x:v>
      </x:c>
      <x:c r="G30" s="143" t="n">
        <x:v>6</x:v>
      </x:c>
      <x:c r="H30" s="143" t="n">
        <x:v>8</x:v>
      </x:c>
      <x:c r="I30" s="146" t="n">
        <x:v>14.088</x:v>
      </x:c>
      <x:c r="J30" s="146" t="n">
        <x:v>-4.051</x:v>
      </x:c>
      <x:c r="K30" s="146" t="n">
        <x:v>112.7</x:v>
      </x:c>
      <x:c r="L30" s="146" t="n">
        <x:v>-32.4</x:v>
      </x:c>
      <x:c r="M30" s="25" t="str">
        <x:v>F1-AAV</x:v>
      </x:c>
      <x:c r="N30" s="25" t="str">
        <x:v>GRIND / RECYC</x:v>
      </x:c>
      <x:c r="O30" s="25" t="str">
        <x:v>Double Glazed Service</x:v>
      </x:c>
      <x:c r="P30" s="25" t="str">
        <x:v>Glass</x:v>
      </x:c>
      <x:c r="Q30" s="25" t="str">
        <x:v>Double leaf pair</x:v>
      </x:c>
      <x:c r="R30" s="25" t="str">
        <x:v>Exterior/service doors swing outward</x:v>
      </x:c>
      <x:c r="S30" s="25" t="str">
        <x:v>Both jambs / paired leaves</x:v>
      </x:c>
      <x:c r="T30" s="25" t="str">
        <x:v>Pair default</x:v>
      </x:c>
      <x:c r="U30" s="25" t="str">
        <x:v>Medium</x:v>
      </x:c>
      <x:c r="V30" s="25" t="str">
        <x:v>Post-placement QA only</x:v>
      </x:c>
      <x:c r="W30" s="25" t="str">
        <x:v>Consolidated v2.4 door workbook + uploaded schematic SVGs + user 3ft/6ft glass-door constraints</x:v>
      </x:c>
      <x:c r="X30" s="26" t="str">
        <x:v>Nearest: F1-AAV (7.1 ft), F1-ACA (43.0 ft). High-bay support / loading edge.</x:v>
      </x:c>
    </x:row>
    <x:row r="31">
      <x:c r="A31" s="24" t="str">
        <x:v>F1-D030</x:v>
      </x:c>
      <x:c r="B31" s="25" t="str">
        <x:v>F1-DR-030</x:v>
      </x:c>
      <x:c r="C31" s="25" t="str">
        <x:v>F1</x:v>
      </x:c>
      <x:c r="D31" s="152" t="str">
        <x:v>Yes</x:v>
      </x:c>
      <x:c r="E31" s="152" t="str">
        <x:v>Deployable for first-pass spatial model</x:v>
      </x:c>
      <x:c r="F31" s="25" t="str">
        <x:v>3'-0" x 8'-0"</x:v>
      </x:c>
      <x:c r="G31" s="143" t="n">
        <x:v>3</x:v>
      </x:c>
      <x:c r="H31" s="143" t="n">
        <x:v>8</x:v>
      </x:c>
      <x:c r="I31" s="146" t="n">
        <x:v>17.986</x:v>
      </x:c>
      <x:c r="J31" s="146" t="n">
        <x:v>12.066</x:v>
      </x:c>
      <x:c r="K31" s="146" t="n">
        <x:v>143.9</x:v>
      </x:c>
      <x:c r="L31" s="146" t="n">
        <x:v>96.5</x:v>
      </x:c>
      <x:c r="M31" s="25" t="str">
        <x:v>F1-AAW</x:v>
      </x:c>
      <x:c r="N31" s="25" t="str">
        <x:v>HIGH-BAY PRODUCTION LABS</x:v>
      </x:c>
      <x:c r="O31" s="25" t="str">
        <x:v>Single Glazed Exterior</x:v>
      </x:c>
      <x:c r="P31" s="25" t="str">
        <x:v>Glass</x:v>
      </x:c>
      <x:c r="Q31" s="25" t="str">
        <x:v>Single leaf</x:v>
      </x:c>
      <x:c r="R31" s="25" t="str">
        <x:v>Exterior/service doors swing outward</x:v>
      </x:c>
      <x:c r="S31" s="25" t="str">
        <x:v>Auto-select jamb during build QA</x:v>
      </x:c>
      <x:c r="T31" s="25" t="str">
        <x:v>Auto-select / visual QA</x:v>
      </x:c>
      <x:c r="U31" s="25" t="str">
        <x:v>Medium</x:v>
      </x:c>
      <x:c r="V31" s="25" t="str">
        <x:v>Post-placement QA only</x:v>
      </x:c>
      <x:c r="W31" s="25" t="str">
        <x:v>Consolidated v2.4 door workbook + uploaded schematic SVGs + user 3ft/6ft glass-door constraints</x:v>
      </x:c>
      <x:c r="X31" s="26" t="str">
        <x:v>Nearest: F1-AAW (82.5 ft), F1-AAV (138.4 ft). High-bay east/north-side candidate. | Graphic swing exists in schematic; exact hand/jamb not fully digitized in this pass.</x:v>
      </x:c>
    </x:row>
    <x:row r="32">
      <x:c r="A32" s="24" t="str">
        <x:v>F1-D031</x:v>
      </x:c>
      <x:c r="B32" s="25" t="str">
        <x:v>GEM-F1-EXT-01</x:v>
      </x:c>
      <x:c r="C32" s="25" t="str">
        <x:v>F1</x:v>
      </x:c>
      <x:c r="D32" s="152" t="str">
        <x:v>Yes</x:v>
      </x:c>
      <x:c r="E32" s="152" t="str">
        <x:v>Deployable for first-pass spatial model</x:v>
      </x:c>
      <x:c r="F32" s="25" t="str">
        <x:v>6'-0" x 8'-0"</x:v>
      </x:c>
      <x:c r="G32" s="143" t="n">
        <x:v>6</x:v>
      </x:c>
      <x:c r="H32" s="143" t="n">
        <x:v>8</x:v>
      </x:c>
      <x:c r="I32" s="146" t="n">
        <x:v>6.5</x:v>
      </x:c>
      <x:c r="J32" s="146" t="n">
        <x:v>4</x:v>
      </x:c>
      <x:c r="K32" s="146" t="n">
        <x:v>52</x:v>
      </x:c>
      <x:c r="L32" s="146" t="n">
        <x:v>32</x:v>
      </x:c>
      <x:c r="M32" s="25" t="str">
        <x:v>GEN-F1-MAIN-ENTRANCE</x:v>
      </x:c>
      <x:c r="N32" s="25" t="str">
        <x:v>Generic main entrance</x:v>
      </x:c>
      <x:c r="O32" s="25" t="str">
        <x:v>Double Glazed Main Entrance</x:v>
      </x:c>
      <x:c r="P32" s="25" t="str">
        <x:v>Glass</x:v>
      </x:c>
      <x:c r="Q32" s="25" t="str">
        <x:v>Double leaf pair</x:v>
      </x:c>
      <x:c r="R32" s="25" t="str">
        <x:v>Exterior/service doors swing outward</x:v>
      </x:c>
      <x:c r="S32" s="25" t="str">
        <x:v>Both jambs / paired leaves</x:v>
      </x:c>
      <x:c r="T32" s="25" t="str">
        <x:v>Pair default</x:v>
      </x:c>
      <x:c r="U32" s="25" t="str">
        <x:v>Medium</x:v>
      </x:c>
      <x:c r="V32" s="25" t="str">
        <x:v>Post-placement QA only</x:v>
      </x:c>
      <x:c r="W32" s="25" t="str">
        <x:v>Consolidated v2.4 door workbook + uploaded schematic SVGs + user 3ft/6ft glass-door constraints</x:v>
      </x:c>
      <x:c r="X32" s="26" t="str">
        <x:v>Main entrance; check against Claude rows F1-DR-015/F1-DR-016.</x:v>
      </x:c>
    </x:row>
    <x:row r="33">
      <x:c r="A33" s="24" t="str">
        <x:v>F1-D032</x:v>
      </x:c>
      <x:c r="B33" s="25" t="str">
        <x:v>GEM-F1-EXT-02</x:v>
      </x:c>
      <x:c r="C33" s="25" t="str">
        <x:v>F1</x:v>
      </x:c>
      <x:c r="D33" s="152" t="str">
        <x:v>Yes - flagged</x:v>
      </x:c>
      <x:c r="E33" s="152" t="str">
        <x:v>Pre-build visual check</x:v>
      </x:c>
      <x:c r="F33" s="25" t="str">
        <x:v>6'-0" x 8'-0"</x:v>
      </x:c>
      <x:c r="G33" s="143" t="n">
        <x:v>6</x:v>
      </x:c>
      <x:c r="H33" s="143" t="n">
        <x:v>8</x:v>
      </x:c>
      <x:c r="I33" s="146" t="n">
        <x:v>12</x:v>
      </x:c>
      <x:c r="J33" s="146" t="n">
        <x:v>14</x:v>
      </x:c>
      <x:c r="K33" s="146" t="n">
        <x:v>96</x:v>
      </x:c>
      <x:c r="L33" s="146" t="n">
        <x:v>112</x:v>
      </x:c>
      <x:c r="M33" s="25" t="str">
        <x:v>F1-AAW</x:v>
      </x:c>
      <x:c r="N33" s="25" t="str">
        <x:v>HIGH-BAY PRODUCTION LABS</x:v>
      </x:c>
      <x:c r="O33" s="25" t="str">
        <x:v>Double Glazed Service</x:v>
      </x:c>
      <x:c r="P33" s="25" t="str">
        <x:v>Glass</x:v>
      </x:c>
      <x:c r="Q33" s="25" t="str">
        <x:v>Double leaf pair</x:v>
      </x:c>
      <x:c r="R33" s="25" t="str">
        <x:v>Exterior/service doors swing outward</x:v>
      </x:c>
      <x:c r="S33" s="25" t="str">
        <x:v>Both jambs / paired leaves</x:v>
      </x:c>
      <x:c r="T33" s="25" t="str">
        <x:v>Pair default</x:v>
      </x:c>
      <x:c r="U33" s="25" t="str">
        <x:v>Low / Verify</x:v>
      </x:c>
      <x:c r="V33" s="25" t="str">
        <x:v>Build only after quick high-bay/exterior opening check</x:v>
      </x:c>
      <x:c r="W33" s="25" t="str">
        <x:v>Consolidated v2.4 door workbook + uploaded schematic SVGs + user 3ft/6ft glass-door constraints</x:v>
      </x:c>
      <x:c r="X33" s="26" t="str">
        <x:v>Gemini notes original opening may be larger/overhead; width retained as 6 ft per user simplification. Verify against explicit first-floor door note.</x:v>
      </x:c>
    </x:row>
    <x:row r="34">
      <x:c r="A34" s="24" t="str">
        <x:v>F1-D033</x:v>
      </x:c>
      <x:c r="B34" s="25" t="str">
        <x:v>GEM-F1-EXT-03</x:v>
      </x:c>
      <x:c r="C34" s="25" t="str">
        <x:v>F1</x:v>
      </x:c>
      <x:c r="D34" s="152" t="str">
        <x:v>Yes</x:v>
      </x:c>
      <x:c r="E34" s="152" t="str">
        <x:v>Deployable for first-pass spatial model</x:v>
      </x:c>
      <x:c r="F34" s="25" t="str">
        <x:v>3'-0" x 8'-0"</x:v>
      </x:c>
      <x:c r="G34" s="143" t="n">
        <x:v>3</x:v>
      </x:c>
      <x:c r="H34" s="143" t="n">
        <x:v>8</x:v>
      </x:c>
      <x:c r="I34" s="146" t="n">
        <x:v>11</x:v>
      </x:c>
      <x:c r="J34" s="146" t="n">
        <x:v>-5.5</x:v>
      </x:c>
      <x:c r="K34" s="146" t="n">
        <x:v>88</x:v>
      </x:c>
      <x:c r="L34" s="146" t="n">
        <x:v>-44</x:v>
      </x:c>
      <x:c r="M34" s="25" t="str">
        <x:v>F1-AAW</x:v>
      </x:c>
      <x:c r="N34" s="25" t="str">
        <x:v>HIGH-BAY PRODUCTION LABS</x:v>
      </x:c>
      <x:c r="O34" s="25" t="str">
        <x:v>Single Glazed Exterior</x:v>
      </x:c>
      <x:c r="P34" s="25" t="str">
        <x:v>Glass</x:v>
      </x:c>
      <x:c r="Q34" s="25" t="str">
        <x:v>Single leaf</x:v>
      </x:c>
      <x:c r="R34" s="25" t="str">
        <x:v>Exterior/service doors swing outward</x:v>
      </x:c>
      <x:c r="S34" s="25" t="str">
        <x:v>Auto-select jamb during build QA</x:v>
      </x:c>
      <x:c r="T34" s="25" t="str">
        <x:v>Auto-select / visual QA</x:v>
      </x:c>
      <x:c r="U34" s="25" t="str">
        <x:v>Medium</x:v>
      </x:c>
      <x:c r="V34" s="25" t="str">
        <x:v>Post-placement QA only</x:v>
      </x:c>
      <x:c r="W34" s="25" t="str">
        <x:v>Consolidated v2.4 door workbook + uploaded schematic SVGs + user 3ft/6ft glass-door constraints</x:v>
      </x:c>
      <x:c r="X34" s="26" t="str">
        <x:v>Candidate not clearly represented in Claude rows except loading/high-bay cluster. | Graphic swing exists in schematic; exact hand/jamb not fully digitized in this pass.</x:v>
      </x:c>
    </x:row>
    <x:row r="35">
      <x:c r="A35" s="24" t="str">
        <x:v>F1-D034</x:v>
      </x:c>
      <x:c r="B35" s="25" t="str">
        <x:v>GEM-F1-COR-03</x:v>
      </x:c>
      <x:c r="C35" s="25" t="str">
        <x:v>F1</x:v>
      </x:c>
      <x:c r="D35" s="152" t="str">
        <x:v>No</x:v>
      </x:c>
      <x:c r="E35" s="152" t="str">
        <x:v>Reference only - blocked</x:v>
      </x:c>
      <x:c r="F35" s="25" t="str">
        <x:v>6'-0" x 7'-0"</x:v>
      </x:c>
      <x:c r="G35" s="143" t="n">
        <x:v>6</x:v>
      </x:c>
      <x:c r="H35" s="143" t="n">
        <x:v>7</x:v>
      </x:c>
      <x:c r="I35" s="146" t="n">
        <x:v>-4</x:v>
      </x:c>
      <x:c r="J35" s="146" t="n">
        <x:v>0.5</x:v>
      </x:c>
      <x:c r="K35" s="146" t="n">
        <x:v>-32</x:v>
      </x:c>
      <x:c r="L35" s="146" t="n">
        <x:v>4</x:v>
      </x:c>
      <x:c r="M35" s="25" t="str">
        <x:v>GEN-F1-EXISTING-CONNECT</x:v>
      </x:c>
      <x:c r="N35" s="25" t="str">
        <x:v>Existing Tyler connector marker</x:v>
      </x:c>
      <x:c r="O35" s="25" t="str">
        <x:v>Glazed Reference Pair</x:v>
      </x:c>
      <x:c r="P35" s="25" t="str">
        <x:v>Glass</x:v>
      </x:c>
      <x:c r="Q35" s="25" t="str">
        <x:v>Double leaf pair</x:v>
      </x:c>
      <x:c r="R35" s="25" t="str">
        <x:v>Reference marker only; do not build by default</x:v>
      </x:c>
      <x:c r="S35" s="25" t="str">
        <x:v>Both jambs / paired leaves</x:v>
      </x:c>
      <x:c r="T35" s="25" t="str">
        <x:v>Pair default</x:v>
      </x:c>
      <x:c r="U35" s="25" t="str">
        <x:v>Medium</x:v>
      </x:c>
      <x:c r="V35" s="25" t="str">
        <x:v>Do not generate unless sealed-existing directive changes</x:v>
      </x:c>
      <x:c r="W35" s="25" t="str">
        <x:v>Consolidated v2.4 door workbook + uploaded schematic SVGs + user 3ft/6ft glass-door constraints</x:v>
      </x:c>
      <x:c r="X35" s="26" t="str">
        <x:v>Reference only unless sealed existing directive is changed. | Existing Tyler remains sealed/no-entry unless directive changes. | Existing Tyler remains sealed/no-entry in current deployment rules.</x:v>
      </x:c>
    </x:row>
    <x:row r="36">
      <x:c r="A36" s="24" t="str">
        <x:v>F2-D001</x:v>
      </x:c>
      <x:c r="B36" s="25" t="str">
        <x:v>F2-DR-001</x:v>
      </x:c>
      <x:c r="C36" s="25" t="str">
        <x:v>F2</x:v>
      </x:c>
      <x:c r="D36" s="152" t="str">
        <x:v>Yes</x:v>
      </x:c>
      <x:c r="E36" s="152" t="str">
        <x:v>Deployable for first-pass spatial model</x:v>
      </x:c>
      <x:c r="F36" s="25" t="str">
        <x:v>3'-0" x 7'-0"</x:v>
      </x:c>
      <x:c r="G36" s="143" t="n">
        <x:v>3</x:v>
      </x:c>
      <x:c r="H36" s="143" t="n">
        <x:v>7</x:v>
      </x:c>
      <x:c r="I36" s="146" t="n">
        <x:v>-1.84</x:v>
      </x:c>
      <x:c r="J36" s="146" t="n">
        <x:v>-1.054</x:v>
      </x:c>
      <x:c r="K36" s="146" t="n">
        <x:v>-14.7</x:v>
      </x:c>
      <x:c r="L36" s="146" t="n">
        <x:v>-8.4</x:v>
      </x:c>
      <x:c r="M36" s="25" t="str">
        <x:v>F2-ABA</x:v>
      </x:c>
      <x:c r="N36" s="25" t="str">
        <x:v>ITINERANT</x:v>
      </x:c>
      <x:c r="O36" s="25" t="str">
        <x:v>Single Glazed Swing</x:v>
      </x:c>
      <x:c r="P36" s="25" t="str">
        <x:v>Glass</x:v>
      </x:c>
      <x:c r="Q36" s="25" t="str">
        <x:v>Single leaf</x:v>
      </x:c>
      <x:c r="R36" s="25" t="str">
        <x:v>Default: swing into associated room; auto-select jamb to avoid wall collision</x:v>
      </x:c>
      <x:c r="S36" s="25" t="str">
        <x:v>Auto-select jamb during build QA</x:v>
      </x:c>
      <x:c r="T36" s="25" t="str">
        <x:v>Auto-select / visual QA</x:v>
      </x:c>
      <x:c r="U36" s="25" t="str">
        <x:v>High</x:v>
      </x:c>
      <x:c r="V36" s="25" t="str">
        <x:v>Post-placement QA only</x:v>
      </x:c>
      <x:c r="W36" s="25" t="str">
        <x:v>Consolidated v2.4 door workbook + uploaded schematic SVGs + user 3ft/6ft glass-door constraints</x:v>
      </x:c>
      <x:c r="X36" s="26" t="str">
        <x:v>Nearest: F2-ABA (5.9 ft), F2-AAZ (8.3 ft). | Graphic swing exists in schematic; exact hand/jamb not fully digitized in this pass.</x:v>
      </x:c>
    </x:row>
    <x:row r="37">
      <x:c r="A37" s="24" t="str">
        <x:v>F2-D002</x:v>
      </x:c>
      <x:c r="B37" s="25" t="str">
        <x:v>F2-DR-002</x:v>
      </x:c>
      <x:c r="C37" s="25" t="str">
        <x:v>F2</x:v>
      </x:c>
      <x:c r="D37" s="152" t="str">
        <x:v>Yes</x:v>
      </x:c>
      <x:c r="E37" s="152" t="str">
        <x:v>Deployable for first-pass spatial model</x:v>
      </x:c>
      <x:c r="F37" s="25" t="str">
        <x:v>6'-0" x 7'-0"</x:v>
      </x:c>
      <x:c r="G37" s="143" t="n">
        <x:v>6</x:v>
      </x:c>
      <x:c r="H37" s="143" t="n">
        <x:v>7</x:v>
      </x:c>
      <x:c r="I37" s="146" t="n">
        <x:v>-0.422</x:v>
      </x:c>
      <x:c r="J37" s="146" t="n">
        <x:v>-6.284</x:v>
      </x:c>
      <x:c r="K37" s="146" t="n">
        <x:v>-3.4</x:v>
      </x:c>
      <x:c r="L37" s="146" t="n">
        <x:v>-50.3</x:v>
      </x:c>
      <x:c r="M37" s="25" t="str">
        <x:v>GEN-F2-CORRIDOR</x:v>
      </x:c>
      <x:c r="N37" s="25" t="str">
        <x:v>Generic corridor / connector opening</x:v>
      </x:c>
      <x:c r="O37" s="25" t="str">
        <x:v>Double Glazed Corridor</x:v>
      </x:c>
      <x:c r="P37" s="25" t="str">
        <x:v>Glass</x:v>
      </x:c>
      <x:c r="Q37" s="25" t="str">
        <x:v>Double leaf pair</x:v>
      </x:c>
      <x:c r="R37" s="25" t="str">
        <x:v>Double pair centered in opening; use both jambs</x:v>
      </x:c>
      <x:c r="S37" s="25" t="str">
        <x:v>Both jambs / paired leaves</x:v>
      </x:c>
      <x:c r="T37" s="25" t="str">
        <x:v>Pair default</x:v>
      </x:c>
      <x:c r="U37" s="25" t="str">
        <x:v>Medium</x:v>
      </x:c>
      <x:c r="V37" s="25" t="str">
        <x:v>Post-placement QA only</x:v>
      </x:c>
      <x:c r="W37" s="25" t="str">
        <x:v>Consolidated v2.4 door workbook + uploaded schematic SVGs + user 3ft/6ft glass-door constraints</x:v>
      </x:c>
      <x:c r="X37" s="26" t="str">
        <x:v>Nearest: F2-ABI (12.2 ft), F2-ABH (13.6 ft). | Graphic swing exists in schematic; exact hand/jamb not fully digitized in this pass.</x:v>
      </x:c>
    </x:row>
    <x:row r="38">
      <x:c r="A38" s="24" t="str">
        <x:v>F2-D003</x:v>
      </x:c>
      <x:c r="B38" s="25" t="str">
        <x:v>F2-DR-003</x:v>
      </x:c>
      <x:c r="C38" s="25" t="str">
        <x:v>F2</x:v>
      </x:c>
      <x:c r="D38" s="152" t="str">
        <x:v>Yes</x:v>
      </x:c>
      <x:c r="E38" s="152" t="str">
        <x:v>Deployable for first-pass spatial model</x:v>
      </x:c>
      <x:c r="F38" s="25" t="str">
        <x:v>6'-0" x 7'-0"</x:v>
      </x:c>
      <x:c r="G38" s="143" t="n">
        <x:v>6</x:v>
      </x:c>
      <x:c r="H38" s="143" t="n">
        <x:v>7</x:v>
      </x:c>
      <x:c r="I38" s="146" t="n">
        <x:v>-0.422</x:v>
      </x:c>
      <x:c r="J38" s="146" t="n">
        <x:v>-4.302</x:v>
      </x:c>
      <x:c r="K38" s="146" t="n">
        <x:v>-3.4</x:v>
      </x:c>
      <x:c r="L38" s="146" t="n">
        <x:v>-34.4</x:v>
      </x:c>
      <x:c r="M38" s="25" t="str">
        <x:v>GEN-F2-CORRIDOR</x:v>
      </x:c>
      <x:c r="N38" s="25" t="str">
        <x:v>Generic corridor / connector opening</x:v>
      </x:c>
      <x:c r="O38" s="25" t="str">
        <x:v>Double Glazed Corridor</x:v>
      </x:c>
      <x:c r="P38" s="25" t="str">
        <x:v>Glass</x:v>
      </x:c>
      <x:c r="Q38" s="25" t="str">
        <x:v>Double leaf pair</x:v>
      </x:c>
      <x:c r="R38" s="25" t="str">
        <x:v>Double pair centered in opening; use both jambs</x:v>
      </x:c>
      <x:c r="S38" s="25" t="str">
        <x:v>Both jambs / paired leaves</x:v>
      </x:c>
      <x:c r="T38" s="25" t="str">
        <x:v>Pair default</x:v>
      </x:c>
      <x:c r="U38" s="25" t="str">
        <x:v>Medium</x:v>
      </x:c>
      <x:c r="V38" s="25" t="str">
        <x:v>Post-placement QA only</x:v>
      </x:c>
      <x:c r="W38" s="25" t="str">
        <x:v>Consolidated v2.4 door workbook + uploaded schematic SVGs + user 3ft/6ft glass-door constraints</x:v>
      </x:c>
      <x:c r="X38" s="26" t="str">
        <x:v>Nearest: F2-ABG (10.2 ft), F2-ABH (13.1 ft). | Graphic swing exists in schematic; exact hand/jamb not fully digitized in this pass.</x:v>
      </x:c>
    </x:row>
    <x:row r="39">
      <x:c r="A39" s="24" t="str">
        <x:v>F2-D004</x:v>
      </x:c>
      <x:c r="B39" s="25" t="str">
        <x:v>F2-DR-004</x:v>
      </x:c>
      <x:c r="C39" s="25" t="str">
        <x:v>F2</x:v>
      </x:c>
      <x:c r="D39" s="152" t="str">
        <x:v>Yes</x:v>
      </x:c>
      <x:c r="E39" s="152" t="str">
        <x:v>Deployable for first-pass spatial model</x:v>
      </x:c>
      <x:c r="F39" s="25" t="str">
        <x:v>3'-0" x 7'-0"</x:v>
      </x:c>
      <x:c r="G39" s="143" t="n">
        <x:v>3</x:v>
      </x:c>
      <x:c r="H39" s="143" t="n">
        <x:v>7</x:v>
      </x:c>
      <x:c r="I39" s="146" t="n">
        <x:v>-0.394</x:v>
      </x:c>
      <x:c r="J39" s="146" t="n">
        <x:v>-7.105</x:v>
      </x:c>
      <x:c r="K39" s="146" t="n">
        <x:v>-3.1</x:v>
      </x:c>
      <x:c r="L39" s="146" t="n">
        <x:v>-56.8</x:v>
      </x:c>
      <x:c r="M39" s="25" t="str">
        <x:v>F2-ABI</x:v>
      </x:c>
      <x:c r="N39" s="25" t="str">
        <x:v>RESEARCH O. 1</x:v>
      </x:c>
      <x:c r="O39" s="25" t="str">
        <x:v>Single Glazed Swing</x:v>
      </x:c>
      <x:c r="P39" s="25" t="str">
        <x:v>Glass</x:v>
      </x:c>
      <x:c r="Q39" s="25" t="str">
        <x:v>Single leaf</x:v>
      </x:c>
      <x:c r="R39" s="25" t="str">
        <x:v>Default: swing into associated room; auto-select jamb to avoid wall collision</x:v>
      </x:c>
      <x:c r="S39" s="25" t="str">
        <x:v>Auto-select jamb during build QA</x:v>
      </x:c>
      <x:c r="T39" s="25" t="str">
        <x:v>Auto-select / visual QA</x:v>
      </x:c>
      <x:c r="U39" s="25" t="str">
        <x:v>High</x:v>
      </x:c>
      <x:c r="V39" s="25" t="str">
        <x:v>Post-placement QA only</x:v>
      </x:c>
      <x:c r="W39" s="25" t="str">
        <x:v>Consolidated v2.4 door workbook + uploaded schematic SVGs + user 3ft/6ft glass-door constraints</x:v>
      </x:c>
      <x:c r="X39" s="26" t="str">
        <x:v>Nearest: F2-ABI (10.1 ft), F2-ABE (15.1 ft). | Graphic swing exists in schematic; exact hand/jamb not fully digitized in this pass.</x:v>
      </x:c>
    </x:row>
    <x:row r="40">
      <x:c r="A40" s="24" t="str">
        <x:v>F2-D005</x:v>
      </x:c>
      <x:c r="B40" s="25" t="str">
        <x:v>F2-DR-005</x:v>
      </x:c>
      <x:c r="C40" s="25" t="str">
        <x:v>F2</x:v>
      </x:c>
      <x:c r="D40" s="152" t="str">
        <x:v>Yes</x:v>
      </x:c>
      <x:c r="E40" s="152" t="str">
        <x:v>Deployable for first-pass spatial model</x:v>
      </x:c>
      <x:c r="F40" s="25" t="str">
        <x:v>3'-0" x 7'-0"</x:v>
      </x:c>
      <x:c r="G40" s="143" t="n">
        <x:v>3</x:v>
      </x:c>
      <x:c r="H40" s="143" t="n">
        <x:v>7</x:v>
      </x:c>
      <x:c r="I40" s="146" t="n">
        <x:v>-0.372</x:v>
      </x:c>
      <x:c r="J40" s="146" t="n">
        <x:v>-1.129</x:v>
      </x:c>
      <x:c r="K40" s="146" t="n">
        <x:v>-3</x:v>
      </x:c>
      <x:c r="L40" s="146" t="n">
        <x:v>-9</x:v>
      </x:c>
      <x:c r="M40" s="25" t="str">
        <x:v>F2-ABA</x:v>
      </x:c>
      <x:c r="N40" s="25" t="str">
        <x:v>ITINERANT</x:v>
      </x:c>
      <x:c r="O40" s="25" t="str">
        <x:v>Single Glazed Swing</x:v>
      </x:c>
      <x:c r="P40" s="25" t="str">
        <x:v>Glass</x:v>
      </x:c>
      <x:c r="Q40" s="25" t="str">
        <x:v>Single leaf</x:v>
      </x:c>
      <x:c r="R40" s="25" t="str">
        <x:v>Default: swing into associated room; auto-select jamb to avoid wall collision</x:v>
      </x:c>
      <x:c r="S40" s="25" t="str">
        <x:v>Auto-select jamb during build QA</x:v>
      </x:c>
      <x:c r="T40" s="25" t="str">
        <x:v>Auto-select / visual QA</x:v>
      </x:c>
      <x:c r="U40" s="25" t="str">
        <x:v>High</x:v>
      </x:c>
      <x:c r="V40" s="25" t="str">
        <x:v>Post-placement QA only</x:v>
      </x:c>
      <x:c r="W40" s="25" t="str">
        <x:v>Consolidated v2.4 door workbook + uploaded schematic SVGs + user 3ft/6ft glass-door constraints</x:v>
      </x:c>
      <x:c r="X40" s="26" t="str">
        <x:v>Nearest: F2-ABA (5.9 ft), F2-ABF (17.5 ft). | Graphic swing exists in schematic; exact hand/jamb not fully digitized in this pass.</x:v>
      </x:c>
    </x:row>
    <x:row r="41">
      <x:c r="A41" s="24" t="str">
        <x:v>F2-D006</x:v>
      </x:c>
      <x:c r="B41" s="25" t="str">
        <x:v>F2-DR-006</x:v>
      </x:c>
      <x:c r="C41" s="25" t="str">
        <x:v>F2</x:v>
      </x:c>
      <x:c r="D41" s="152" t="str">
        <x:v>Yes</x:v>
      </x:c>
      <x:c r="E41" s="152" t="str">
        <x:v>Deployable for first-pass spatial model</x:v>
      </x:c>
      <x:c r="F41" s="25" t="str">
        <x:v>3'-0" x 7'-0"</x:v>
      </x:c>
      <x:c r="G41" s="143" t="n">
        <x:v>3</x:v>
      </x:c>
      <x:c r="H41" s="143" t="n">
        <x:v>7</x:v>
      </x:c>
      <x:c r="I41" s="146" t="n">
        <x:v>-0.325</x:v>
      </x:c>
      <x:c r="J41" s="146" t="n">
        <x:v>-3.593</x:v>
      </x:c>
      <x:c r="K41" s="146" t="n">
        <x:v>-2.6</x:v>
      </x:c>
      <x:c r="L41" s="146" t="n">
        <x:v>-28.8</x:v>
      </x:c>
      <x:c r="M41" s="25" t="str">
        <x:v>F2-ABF</x:v>
      </x:c>
      <x:c r="N41" s="25" t="str">
        <x:v>SM MEETING</x:v>
      </x:c>
      <x:c r="O41" s="25" t="str">
        <x:v>Single Glazed Swing</x:v>
      </x:c>
      <x:c r="P41" s="25" t="str">
        <x:v>Glass</x:v>
      </x:c>
      <x:c r="Q41" s="25" t="str">
        <x:v>Single leaf</x:v>
      </x:c>
      <x:c r="R41" s="25" t="str">
        <x:v>Default: swing into associated room; auto-select jamb to avoid wall collision</x:v>
      </x:c>
      <x:c r="S41" s="25" t="str">
        <x:v>Auto-select jamb during build QA</x:v>
      </x:c>
      <x:c r="T41" s="25" t="str">
        <x:v>Auto-select / visual QA</x:v>
      </x:c>
      <x:c r="U41" s="25" t="str">
        <x:v>High</x:v>
      </x:c>
      <x:c r="V41" s="25" t="str">
        <x:v>Post-placement QA only</x:v>
      </x:c>
      <x:c r="W41" s="25" t="str">
        <x:v>Consolidated v2.4 door workbook + uploaded schematic SVGs + user 3ft/6ft glass-door constraints</x:v>
      </x:c>
      <x:c r="X41" s="26" t="str">
        <x:v>Nearest: F2-ABF (9.6 ft), F2-ABG (11.5 ft). | Graphic swing exists in schematic; exact hand/jamb not fully digitized in this pass.</x:v>
      </x:c>
    </x:row>
    <x:row r="42">
      <x:c r="A42" s="24" t="str">
        <x:v>F2-D007</x:v>
      </x:c>
      <x:c r="B42" s="25" t="str">
        <x:v>F2-DR-007</x:v>
      </x:c>
      <x:c r="C42" s="25" t="str">
        <x:v>F2</x:v>
      </x:c>
      <x:c r="D42" s="152" t="str">
        <x:v>Yes</x:v>
      </x:c>
      <x:c r="E42" s="152" t="str">
        <x:v>Deployable for first-pass spatial model</x:v>
      </x:c>
      <x:c r="F42" s="25" t="str">
        <x:v>3'-0" x 7'-0"</x:v>
      </x:c>
      <x:c r="G42" s="143" t="n">
        <x:v>3</x:v>
      </x:c>
      <x:c r="H42" s="143" t="n">
        <x:v>7</x:v>
      </x:c>
      <x:c r="I42" s="146" t="n">
        <x:v>0.541</x:v>
      </x:c>
      <x:c r="J42" s="146" t="n">
        <x:v>-7.977</x:v>
      </x:c>
      <x:c r="K42" s="146" t="n">
        <x:v>4.3</x:v>
      </x:c>
      <x:c r="L42" s="146" t="n">
        <x:v>-63.8</x:v>
      </x:c>
      <x:c r="M42" s="25" t="str">
        <x:v>F2-ABI</x:v>
      </x:c>
      <x:c r="N42" s="25" t="str">
        <x:v>RESEARCH O. 1</x:v>
      </x:c>
      <x:c r="O42" s="25" t="str">
        <x:v>Single Glazed Swing</x:v>
      </x:c>
      <x:c r="P42" s="25" t="str">
        <x:v>Glass</x:v>
      </x:c>
      <x:c r="Q42" s="25" t="str">
        <x:v>Single leaf</x:v>
      </x:c>
      <x:c r="R42" s="25" t="str">
        <x:v>Default: swing into associated room; auto-select jamb to avoid wall collision</x:v>
      </x:c>
      <x:c r="S42" s="25" t="str">
        <x:v>Auto-select jamb during build QA</x:v>
      </x:c>
      <x:c r="T42" s="25" t="str">
        <x:v>Auto-select / visual QA</x:v>
      </x:c>
      <x:c r="U42" s="25" t="str">
        <x:v>High</x:v>
      </x:c>
      <x:c r="V42" s="25" t="str">
        <x:v>Post-placement QA only</x:v>
      </x:c>
      <x:c r="W42" s="25" t="str">
        <x:v>Consolidated v2.4 door workbook + uploaded schematic SVGs + user 3ft/6ft glass-door constraints</x:v>
      </x:c>
      <x:c r="X42" s="26" t="str">
        <x:v>Nearest: F2-ABI (7.6 ft), F2-ABJ (14.1 ft). | Graphic swing exists in schematic; exact hand/jamb not fully digitized in this pass.</x:v>
      </x:c>
    </x:row>
    <x:row r="43">
      <x:c r="A43" s="24" t="str">
        <x:v>F2-D008</x:v>
      </x:c>
      <x:c r="B43" s="25" t="str">
        <x:v>F2-DR-008</x:v>
      </x:c>
      <x:c r="C43" s="25" t="str">
        <x:v>F2</x:v>
      </x:c>
      <x:c r="D43" s="152" t="str">
        <x:v>Yes</x:v>
      </x:c>
      <x:c r="E43" s="152" t="str">
        <x:v>Deployable for first-pass spatial model</x:v>
      </x:c>
      <x:c r="F43" s="25" t="str">
        <x:v>3'-0" x 7'-0"</x:v>
      </x:c>
      <x:c r="G43" s="143" t="n">
        <x:v>3</x:v>
      </x:c>
      <x:c r="H43" s="143" t="n">
        <x:v>7</x:v>
      </x:c>
      <x:c r="I43" s="146" t="n">
        <x:v>0.707</x:v>
      </x:c>
      <x:c r="J43" s="146" t="n">
        <x:v>-4.574</x:v>
      </x:c>
      <x:c r="K43" s="146" t="n">
        <x:v>5.7</x:v>
      </x:c>
      <x:c r="L43" s="146" t="n">
        <x:v>-36.6</x:v>
      </x:c>
      <x:c r="M43" s="25" t="str">
        <x:v>F2-ABG</x:v>
      </x:c>
      <x:c r="N43" s="25" t="str">
        <x:v>IDF</x:v>
      </x:c>
      <x:c r="O43" s="25" t="str">
        <x:v>Single Glazed Swing</x:v>
      </x:c>
      <x:c r="P43" s="25" t="str">
        <x:v>Glass</x:v>
      </x:c>
      <x:c r="Q43" s="25" t="str">
        <x:v>Single leaf</x:v>
      </x:c>
      <x:c r="R43" s="25" t="str">
        <x:v>Default: swing into associated room; auto-select jamb to avoid wall collision</x:v>
      </x:c>
      <x:c r="S43" s="25" t="str">
        <x:v>Auto-select jamb during build QA</x:v>
      </x:c>
      <x:c r="T43" s="25" t="str">
        <x:v>Auto-select / visual QA</x:v>
      </x:c>
      <x:c r="U43" s="25" t="str">
        <x:v>High</x:v>
      </x:c>
      <x:c r="V43" s="25" t="str">
        <x:v>Post-placement QA only</x:v>
      </x:c>
      <x:c r="W43" s="25" t="str">
        <x:v>Consolidated v2.4 door workbook + uploaded schematic SVGs + user 3ft/6ft glass-door constraints</x:v>
      </x:c>
      <x:c r="X43" s="26" t="str">
        <x:v>Nearest: F2-ABG (1.7 ft), F2-ABH (5.6 ft). | Graphic swing exists in schematic; exact hand/jamb not fully digitized in this pass.</x:v>
      </x:c>
    </x:row>
    <x:row r="44">
      <x:c r="A44" s="24" t="str">
        <x:v>F2-D009</x:v>
      </x:c>
      <x:c r="B44" s="25" t="str">
        <x:v>F2-DR-009</x:v>
      </x:c>
      <x:c r="C44" s="25" t="str">
        <x:v>F2</x:v>
      </x:c>
      <x:c r="D44" s="152" t="str">
        <x:v>Yes</x:v>
      </x:c>
      <x:c r="E44" s="152" t="str">
        <x:v>Deployable for first-pass spatial model</x:v>
      </x:c>
      <x:c r="F44" s="25" t="str">
        <x:v>3'-0" x 7'-0"</x:v>
      </x:c>
      <x:c r="G44" s="143" t="n">
        <x:v>3</x:v>
      </x:c>
      <x:c r="H44" s="143" t="n">
        <x:v>7</x:v>
      </x:c>
      <x:c r="I44" s="146" t="n">
        <x:v>0.707</x:v>
      </x:c>
      <x:c r="J44" s="146" t="n">
        <x:v>-5.328</x:v>
      </x:c>
      <x:c r="K44" s="146" t="n">
        <x:v>5.7</x:v>
      </x:c>
      <x:c r="L44" s="146" t="n">
        <x:v>-42.6</x:v>
      </x:c>
      <x:c r="M44" s="25" t="str">
        <x:v>F2-ABH</x:v>
      </x:c>
      <x:c r="N44" s="25" t="str">
        <x:v>ELEC / Electrical Room</x:v>
      </x:c>
      <x:c r="O44" s="25" t="str">
        <x:v>Single Glazed Swing</x:v>
      </x:c>
      <x:c r="P44" s="25" t="str">
        <x:v>Glass</x:v>
      </x:c>
      <x:c r="Q44" s="25" t="str">
        <x:v>Single leaf</x:v>
      </x:c>
      <x:c r="R44" s="25" t="str">
        <x:v>Default: swing into associated room; auto-select jamb to avoid wall collision</x:v>
      </x:c>
      <x:c r="S44" s="25" t="str">
        <x:v>Auto-select jamb during build QA</x:v>
      </x:c>
      <x:c r="T44" s="25" t="str">
        <x:v>Auto-select / visual QA</x:v>
      </x:c>
      <x:c r="U44" s="25" t="str">
        <x:v>High</x:v>
      </x:c>
      <x:c r="V44" s="25" t="str">
        <x:v>Post-placement QA only</x:v>
      </x:c>
      <x:c r="W44" s="25" t="str">
        <x:v>Consolidated v2.4 door workbook + uploaded schematic SVGs + user 3ft/6ft glass-door constraints</x:v>
      </x:c>
      <x:c r="X44" s="26" t="str">
        <x:v>Nearest: F2-ABH (1.8 ft), F2-ABG (7.4 ft). | Graphic swing exists in schematic; exact hand/jamb not fully digitized in this pass.</x:v>
      </x:c>
    </x:row>
    <x:row r="45">
      <x:c r="A45" s="24" t="str">
        <x:v>F2-D010</x:v>
      </x:c>
      <x:c r="B45" s="25" t="str">
        <x:v>F2-DR-010</x:v>
      </x:c>
      <x:c r="C45" s="25" t="str">
        <x:v>F2</x:v>
      </x:c>
      <x:c r="D45" s="152" t="str">
        <x:v>Yes</x:v>
      </x:c>
      <x:c r="E45" s="152" t="str">
        <x:v>Deployable for first-pass spatial model</x:v>
      </x:c>
      <x:c r="F45" s="25" t="str">
        <x:v>3'-0" x 7'-0"</x:v>
      </x:c>
      <x:c r="G45" s="143" t="n">
        <x:v>3</x:v>
      </x:c>
      <x:c r="H45" s="143" t="n">
        <x:v>7</x:v>
      </x:c>
      <x:c r="I45" s="146" t="n">
        <x:v>1.352</x:v>
      </x:c>
      <x:c r="J45" s="146" t="n">
        <x:v>-6.704</x:v>
      </x:c>
      <x:c r="K45" s="146" t="n">
        <x:v>10.8</x:v>
      </x:c>
      <x:c r="L45" s="146" t="n">
        <x:v>-53.6</x:v>
      </x:c>
      <x:c r="M45" s="25" t="str">
        <x:v>F2-ABI</x:v>
      </x:c>
      <x:c r="N45" s="25" t="str">
        <x:v>RESEARCH O. 1</x:v>
      </x:c>
      <x:c r="O45" s="25" t="str">
        <x:v>Single Glazed Swing</x:v>
      </x:c>
      <x:c r="P45" s="25" t="str">
        <x:v>Glass</x:v>
      </x:c>
      <x:c r="Q45" s="25" t="str">
        <x:v>Single leaf</x:v>
      </x:c>
      <x:c r="R45" s="25" t="str">
        <x:v>Default: swing into associated room; auto-select jamb to avoid wall collision</x:v>
      </x:c>
      <x:c r="S45" s="25" t="str">
        <x:v>Auto-select jamb during build QA</x:v>
      </x:c>
      <x:c r="T45" s="25" t="str">
        <x:v>Auto-select / visual QA</x:v>
      </x:c>
      <x:c r="U45" s="25" t="str">
        <x:v>High</x:v>
      </x:c>
      <x:c r="V45" s="25" t="str">
        <x:v>Post-placement QA only</x:v>
      </x:c>
      <x:c r="W45" s="25" t="str">
        <x:v>Consolidated v2.4 door workbook + uploaded schematic SVGs + user 3ft/6ft glass-door constraints</x:v>
      </x:c>
      <x:c r="X45" s="26" t="str">
        <x:v>Nearest: F2-ABI (5.0 ft), F2-ABJ (7.3 ft). | Graphic swing exists in schematic; exact hand/jamb not fully digitized in this pass.</x:v>
      </x:c>
    </x:row>
    <x:row r="46">
      <x:c r="A46" s="24" t="str">
        <x:v>F2-D011</x:v>
      </x:c>
      <x:c r="B46" s="25" t="str">
        <x:v>F2-DR-011</x:v>
      </x:c>
      <x:c r="C46" s="25" t="str">
        <x:v>F2</x:v>
      </x:c>
      <x:c r="D46" s="152" t="str">
        <x:v>Yes</x:v>
      </x:c>
      <x:c r="E46" s="152" t="str">
        <x:v>Deployable for first-pass spatial model</x:v>
      </x:c>
      <x:c r="F46" s="25" t="str">
        <x:v>3'-0" x 7'-0"</x:v>
      </x:c>
      <x:c r="G46" s="143" t="n">
        <x:v>3</x:v>
      </x:c>
      <x:c r="H46" s="143" t="n">
        <x:v>7</x:v>
      </x:c>
      <x:c r="I46" s="146" t="n">
        <x:v>1.696</x:v>
      </x:c>
      <x:c r="J46" s="146" t="n">
        <x:v>-2.461</x:v>
      </x:c>
      <x:c r="K46" s="146" t="n">
        <x:v>13.6</x:v>
      </x:c>
      <x:c r="L46" s="146" t="n">
        <x:v>-19.7</x:v>
      </x:c>
      <x:c r="M46" s="25" t="str">
        <x:v>F2-ABF</x:v>
      </x:c>
      <x:c r="N46" s="25" t="str">
        <x:v>SM MEETING</x:v>
      </x:c>
      <x:c r="O46" s="25" t="str">
        <x:v>Single Glazed Swing</x:v>
      </x:c>
      <x:c r="P46" s="25" t="str">
        <x:v>Glass</x:v>
      </x:c>
      <x:c r="Q46" s="25" t="str">
        <x:v>Single leaf</x:v>
      </x:c>
      <x:c r="R46" s="25" t="str">
        <x:v>Default: swing into associated room; auto-select jamb to avoid wall collision</x:v>
      </x:c>
      <x:c r="S46" s="25" t="str">
        <x:v>Auto-select jamb during build QA</x:v>
      </x:c>
      <x:c r="T46" s="25" t="str">
        <x:v>Auto-select / visual QA</x:v>
      </x:c>
      <x:c r="U46" s="25" t="str">
        <x:v>Medium</x:v>
      </x:c>
      <x:c r="V46" s="25" t="str">
        <x:v>Post-placement QA only</x:v>
      </x:c>
      <x:c r="W46" s="25" t="str">
        <x:v>Consolidated v2.4 door workbook + uploaded schematic SVGs + user 3ft/6ft glass-door constraints</x:v>
      </x:c>
      <x:c r="X46" s="26" t="str">
        <x:v>Nearest: F2-ABF (8.9 ft), F2-ABL (15.8 ft). | Graphic swing exists in schematic; exact hand/jamb not fully digitized in this pass.</x:v>
      </x:c>
    </x:row>
    <x:row r="47">
      <x:c r="A47" s="24" t="str">
        <x:v>F2-D012</x:v>
      </x:c>
      <x:c r="B47" s="25" t="str">
        <x:v>F2-DR-012</x:v>
      </x:c>
      <x:c r="C47" s="25" t="str">
        <x:v>F2</x:v>
      </x:c>
      <x:c r="D47" s="152" t="str">
        <x:v>Yes</x:v>
      </x:c>
      <x:c r="E47" s="152" t="str">
        <x:v>Deployable for first-pass spatial model</x:v>
      </x:c>
      <x:c r="F47" s="25" t="str">
        <x:v>3'-0" x 7'-0"</x:v>
      </x:c>
      <x:c r="G47" s="143" t="n">
        <x:v>3</x:v>
      </x:c>
      <x:c r="H47" s="143" t="n">
        <x:v>7</x:v>
      </x:c>
      <x:c r="I47" s="146" t="n">
        <x:v>1.916</x:v>
      </x:c>
      <x:c r="J47" s="146" t="n">
        <x:v>-6.731</x:v>
      </x:c>
      <x:c r="K47" s="146" t="n">
        <x:v>15.3</x:v>
      </x:c>
      <x:c r="L47" s="146" t="n">
        <x:v>-53.9</x:v>
      </x:c>
      <x:c r="M47" s="25" t="str">
        <x:v>F2-ABJ</x:v>
      </x:c>
      <x:c r="N47" s="25" t="str">
        <x:v>RESEARCH O. 2</x:v>
      </x:c>
      <x:c r="O47" s="25" t="str">
        <x:v>Single Glazed Swing</x:v>
      </x:c>
      <x:c r="P47" s="25" t="str">
        <x:v>Glass</x:v>
      </x:c>
      <x:c r="Q47" s="25" t="str">
        <x:v>Single leaf</x:v>
      </x:c>
      <x:c r="R47" s="25" t="str">
        <x:v>Default: swing into associated room; auto-select jamb to avoid wall collision</x:v>
      </x:c>
      <x:c r="S47" s="25" t="str">
        <x:v>Auto-select jamb during build QA</x:v>
      </x:c>
      <x:c r="T47" s="25" t="str">
        <x:v>Auto-select / visual QA</x:v>
      </x:c>
      <x:c r="U47" s="25" t="str">
        <x:v>High</x:v>
      </x:c>
      <x:c r="V47" s="25" t="str">
        <x:v>Post-placement QA only</x:v>
      </x:c>
      <x:c r="W47" s="25" t="str">
        <x:v>Consolidated v2.4 door workbook + uploaded schematic SVGs + user 3ft/6ft glass-door constraints</x:v>
      </x:c>
      <x:c r="X47" s="26" t="str">
        <x:v>Nearest: F2-ABJ (4.1 ft), F2-ABI (8.9 ft). | Graphic swing exists in schematic; exact hand/jamb not fully digitized in this pass.</x:v>
      </x:c>
    </x:row>
    <x:row r="48">
      <x:c r="A48" s="24" t="str">
        <x:v>F2-D013</x:v>
      </x:c>
      <x:c r="B48" s="25" t="str">
        <x:v>F2-DR-013</x:v>
      </x:c>
      <x:c r="C48" s="25" t="str">
        <x:v>F2</x:v>
      </x:c>
      <x:c r="D48" s="152" t="str">
        <x:v>Yes</x:v>
      </x:c>
      <x:c r="E48" s="152" t="str">
        <x:v>Deployable for first-pass spatial model</x:v>
      </x:c>
      <x:c r="F48" s="25" t="str">
        <x:v>3'-0" x 7'-0"</x:v>
      </x:c>
      <x:c r="G48" s="143" t="n">
        <x:v>3</x:v>
      </x:c>
      <x:c r="H48" s="143" t="n">
        <x:v>7</x:v>
      </x:c>
      <x:c r="I48" s="146" t="n">
        <x:v>2.207</x:v>
      </x:c>
      <x:c r="J48" s="146" t="n">
        <x:v>-2.573</x:v>
      </x:c>
      <x:c r="K48" s="146" t="n">
        <x:v>17.7</x:v>
      </x:c>
      <x:c r="L48" s="146" t="n">
        <x:v>-20.6</x:v>
      </x:c>
      <x:c r="M48" s="25" t="str">
        <x:v>F2-ABF</x:v>
      </x:c>
      <x:c r="N48" s="25" t="str">
        <x:v>SM MEETING</x:v>
      </x:c>
      <x:c r="O48" s="25" t="str">
        <x:v>Single Glazed Swing</x:v>
      </x:c>
      <x:c r="P48" s="25" t="str">
        <x:v>Glass</x:v>
      </x:c>
      <x:c r="Q48" s="25" t="str">
        <x:v>Single leaf</x:v>
      </x:c>
      <x:c r="R48" s="25" t="str">
        <x:v>Default: swing into associated room; auto-select jamb to avoid wall collision</x:v>
      </x:c>
      <x:c r="S48" s="25" t="str">
        <x:v>Auto-select jamb during build QA</x:v>
      </x:c>
      <x:c r="T48" s="25" t="str">
        <x:v>Auto-select / visual QA</x:v>
      </x:c>
      <x:c r="U48" s="25" t="str">
        <x:v>Medium</x:v>
      </x:c>
      <x:c r="V48" s="25" t="str">
        <x:v>Post-placement QA only</x:v>
      </x:c>
      <x:c r="W48" s="25" t="str">
        <x:v>Consolidated v2.4 door workbook + uploaded schematic SVGs + user 3ft/6ft glass-door constraints</x:v>
      </x:c>
      <x:c r="X48" s="26" t="str">
        <x:v>Nearest: F2-ABF (12.3 ft), F2-ABL (13.1 ft). | Graphic swing exists in schematic; exact hand/jamb not fully digitized in this pass.</x:v>
      </x:c>
    </x:row>
    <x:row r="49">
      <x:c r="A49" s="24" t="str">
        <x:v>F2-D014</x:v>
      </x:c>
      <x:c r="B49" s="25" t="str">
        <x:v>F2-DR-014</x:v>
      </x:c>
      <x:c r="C49" s="25" t="str">
        <x:v>F2</x:v>
      </x:c>
      <x:c r="D49" s="152" t="str">
        <x:v>Yes</x:v>
      </x:c>
      <x:c r="E49" s="152" t="str">
        <x:v>Deployable for first-pass spatial model</x:v>
      </x:c>
      <x:c r="F49" s="25" t="str">
        <x:v>3'-0" x 7'-0"</x:v>
      </x:c>
      <x:c r="G49" s="143" t="n">
        <x:v>3</x:v>
      </x:c>
      <x:c r="H49" s="143" t="n">
        <x:v>7</x:v>
      </x:c>
      <x:c r="I49" s="146" t="n">
        <x:v>2.251</x:v>
      </x:c>
      <x:c r="J49" s="146" t="n">
        <x:v>-5.806</x:v>
      </x:c>
      <x:c r="K49" s="146" t="n">
        <x:v>18</x:v>
      </x:c>
      <x:c r="L49" s="146" t="n">
        <x:v>-46.5</x:v>
      </x:c>
      <x:c r="M49" s="25" t="str">
        <x:v>F2-ABJ</x:v>
      </x:c>
      <x:c r="N49" s="25" t="str">
        <x:v>RESEARCH O. 2</x:v>
      </x:c>
      <x:c r="O49" s="25" t="str">
        <x:v>Single Glazed Swing</x:v>
      </x:c>
      <x:c r="P49" s="25" t="str">
        <x:v>Glass</x:v>
      </x:c>
      <x:c r="Q49" s="25" t="str">
        <x:v>Single leaf</x:v>
      </x:c>
      <x:c r="R49" s="25" t="str">
        <x:v>Default: swing into associated room; auto-select jamb to avoid wall collision</x:v>
      </x:c>
      <x:c r="S49" s="25" t="str">
        <x:v>Auto-select jamb during build QA</x:v>
      </x:c>
      <x:c r="T49" s="25" t="str">
        <x:v>Auto-select / visual QA</x:v>
      </x:c>
      <x:c r="U49" s="25" t="str">
        <x:v>Medium</x:v>
      </x:c>
      <x:c r="V49" s="25" t="str">
        <x:v>Post-placement QA only</x:v>
      </x:c>
      <x:c r="W49" s="25" t="str">
        <x:v>Consolidated v2.4 door workbook + uploaded schematic SVGs + user 3ft/6ft glass-door constraints</x:v>
      </x:c>
      <x:c r="X49" s="26" t="str">
        <x:v>Nearest: F2-ABJ (11.1 ft), F2-ABH (11.6 ft). | Graphic swing exists in schematic; exact hand/jamb not fully digitized in this pass.</x:v>
      </x:c>
    </x:row>
    <x:row r="50">
      <x:c r="A50" s="24" t="str">
        <x:v>F2-D015</x:v>
      </x:c>
      <x:c r="B50" s="25" t="str">
        <x:v>F2-DR-015</x:v>
      </x:c>
      <x:c r="C50" s="25" t="str">
        <x:v>F2</x:v>
      </x:c>
      <x:c r="D50" s="152" t="str">
        <x:v>Yes</x:v>
      </x:c>
      <x:c r="E50" s="152" t="str">
        <x:v>Deployable for first-pass spatial model</x:v>
      </x:c>
      <x:c r="F50" s="25" t="str">
        <x:v>3'-0" x 7'-0"</x:v>
      </x:c>
      <x:c r="G50" s="143" t="n">
        <x:v>3</x:v>
      </x:c>
      <x:c r="H50" s="143" t="n">
        <x:v>7</x:v>
      </x:c>
      <x:c r="I50" s="146" t="n">
        <x:v>2.809</x:v>
      </x:c>
      <x:c r="J50" s="146" t="n">
        <x:v>1.029</x:v>
      </x:c>
      <x:c r="K50" s="146" t="n">
        <x:v>22.5</x:v>
      </x:c>
      <x:c r="L50" s="146" t="n">
        <x:v>8.2</x:v>
      </x:c>
      <x:c r="M50" s="25" t="str">
        <x:v>F2-ABN</x:v>
      </x:c>
      <x:c r="N50" s="25" t="str">
        <x:v>PROJECT, east</x:v>
      </x:c>
      <x:c r="O50" s="25" t="str">
        <x:v>Single Glazed Swing</x:v>
      </x:c>
      <x:c r="P50" s="25" t="str">
        <x:v>Glass</x:v>
      </x:c>
      <x:c r="Q50" s="25" t="str">
        <x:v>Single leaf</x:v>
      </x:c>
      <x:c r="R50" s="25" t="str">
        <x:v>Default: swing into associated room; auto-select jamb to avoid wall collision</x:v>
      </x:c>
      <x:c r="S50" s="25" t="str">
        <x:v>Auto-select jamb during build QA</x:v>
      </x:c>
      <x:c r="T50" s="25" t="str">
        <x:v>Auto-select / visual QA</x:v>
      </x:c>
      <x:c r="U50" s="25" t="str">
        <x:v>High</x:v>
      </x:c>
      <x:c r="V50" s="25" t="str">
        <x:v>Post-placement QA only</x:v>
      </x:c>
      <x:c r="W50" s="25" t="str">
        <x:v>Consolidated v2.4 door workbook + uploaded schematic SVGs + user 3ft/6ft glass-door constraints</x:v>
      </x:c>
      <x:c r="X50" s="26" t="str">
        <x:v>Nearest: F2-ABN (7.4 ft), F2-ABM (9.2 ft). | Graphic swing exists in schematic; exact hand/jamb not fully digitized in this pass.</x:v>
      </x:c>
    </x:row>
    <x:row r="51">
      <x:c r="A51" s="24" t="str">
        <x:v>F2-D016</x:v>
      </x:c>
      <x:c r="B51" s="25" t="str">
        <x:v>F2-DR-016</x:v>
      </x:c>
      <x:c r="C51" s="25" t="str">
        <x:v>F2</x:v>
      </x:c>
      <x:c r="D51" s="152" t="str">
        <x:v>Yes</x:v>
      </x:c>
      <x:c r="E51" s="152" t="str">
        <x:v>Deployable for first-pass spatial model</x:v>
      </x:c>
      <x:c r="F51" s="25" t="str">
        <x:v>3'-0" x 7'-0"</x:v>
      </x:c>
      <x:c r="G51" s="143" t="n">
        <x:v>3</x:v>
      </x:c>
      <x:c r="H51" s="143" t="n">
        <x:v>7</x:v>
      </x:c>
      <x:c r="I51" s="146" t="n">
        <x:v>3.178</x:v>
      </x:c>
      <x:c r="J51" s="146" t="n">
        <x:v>-6.704</x:v>
      </x:c>
      <x:c r="K51" s="146" t="n">
        <x:v>25.4</x:v>
      </x:c>
      <x:c r="L51" s="146" t="n">
        <x:v>-53.6</x:v>
      </x:c>
      <x:c r="M51" s="25" t="str">
        <x:v>F2-ABK</x:v>
      </x:c>
      <x:c r="N51" s="25" t="str">
        <x:v>RESEARCH O. 3</x:v>
      </x:c>
      <x:c r="O51" s="25" t="str">
        <x:v>Single Glazed Swing</x:v>
      </x:c>
      <x:c r="P51" s="25" t="str">
        <x:v>Glass</x:v>
      </x:c>
      <x:c r="Q51" s="25" t="str">
        <x:v>Single leaf</x:v>
      </x:c>
      <x:c r="R51" s="25" t="str">
        <x:v>Default: swing into associated room; auto-select jamb to avoid wall collision</x:v>
      </x:c>
      <x:c r="S51" s="25" t="str">
        <x:v>Auto-select jamb during build QA</x:v>
      </x:c>
      <x:c r="T51" s="25" t="str">
        <x:v>Auto-select / visual QA</x:v>
      </x:c>
      <x:c r="U51" s="25" t="str">
        <x:v>High</x:v>
      </x:c>
      <x:c r="V51" s="25" t="str">
        <x:v>Post-placement QA only</x:v>
      </x:c>
      <x:c r="W51" s="25" t="str">
        <x:v>Consolidated v2.4 door workbook + uploaded schematic SVGs + user 3ft/6ft glass-door constraints</x:v>
      </x:c>
      <x:c r="X51" s="26" t="str">
        <x:v>Nearest: F2-ABK (3.1 ft), F2-ABJ (9.3 ft). | Graphic swing exists in schematic; exact hand/jamb not fully digitized in this pass.</x:v>
      </x:c>
    </x:row>
    <x:row r="52">
      <x:c r="A52" s="24" t="str">
        <x:v>F2-D017</x:v>
      </x:c>
      <x:c r="B52" s="25" t="str">
        <x:v>F2-DR-017</x:v>
      </x:c>
      <x:c r="C52" s="25" t="str">
        <x:v>F2</x:v>
      </x:c>
      <x:c r="D52" s="152" t="str">
        <x:v>Yes</x:v>
      </x:c>
      <x:c r="E52" s="152" t="str">
        <x:v>Deployable for first-pass spatial model</x:v>
      </x:c>
      <x:c r="F52" s="25" t="str">
        <x:v>3'-0" x 7'-0"</x:v>
      </x:c>
      <x:c r="G52" s="143" t="n">
        <x:v>3</x:v>
      </x:c>
      <x:c r="H52" s="143" t="n">
        <x:v>7</x:v>
      </x:c>
      <x:c r="I52" s="146" t="n">
        <x:v>3.313</x:v>
      </x:c>
      <x:c r="J52" s="146" t="n">
        <x:v>1.104</x:v>
      </x:c>
      <x:c r="K52" s="146" t="n">
        <x:v>26.5</x:v>
      </x:c>
      <x:c r="L52" s="146" t="n">
        <x:v>8.8</x:v>
      </x:c>
      <x:c r="M52" s="25" t="str">
        <x:v>F2-ABN</x:v>
      </x:c>
      <x:c r="N52" s="25" t="str">
        <x:v>PROJECT, east</x:v>
      </x:c>
      <x:c r="O52" s="25" t="str">
        <x:v>Single Glazed Swing</x:v>
      </x:c>
      <x:c r="P52" s="25" t="str">
        <x:v>Glass</x:v>
      </x:c>
      <x:c r="Q52" s="25" t="str">
        <x:v>Single leaf</x:v>
      </x:c>
      <x:c r="R52" s="25" t="str">
        <x:v>Default: swing into associated room; auto-select jamb to avoid wall collision</x:v>
      </x:c>
      <x:c r="S52" s="25" t="str">
        <x:v>Auto-select jamb during build QA</x:v>
      </x:c>
      <x:c r="T52" s="25" t="str">
        <x:v>Auto-select / visual QA</x:v>
      </x:c>
      <x:c r="U52" s="25" t="str">
        <x:v>High</x:v>
      </x:c>
      <x:c r="V52" s="25" t="str">
        <x:v>Post-placement QA only</x:v>
      </x:c>
      <x:c r="W52" s="25" t="str">
        <x:v>Consolidated v2.4 door workbook + uploaded schematic SVGs + user 3ft/6ft glass-door constraints</x:v>
      </x:c>
      <x:c r="X52" s="26" t="str">
        <x:v>Nearest: F2-ABN (6.6 ft), F2-ABM (12.6 ft). | Graphic swing exists in schematic; exact hand/jamb not fully digitized in this pass.</x:v>
      </x:c>
    </x:row>
    <x:row r="53">
      <x:c r="A53" s="24" t="str">
        <x:v>F2-D018</x:v>
      </x:c>
      <x:c r="B53" s="25" t="str">
        <x:v>F2-DR-018</x:v>
      </x:c>
      <x:c r="C53" s="25" t="str">
        <x:v>F2</x:v>
      </x:c>
      <x:c r="D53" s="152" t="str">
        <x:v>Yes</x:v>
      </x:c>
      <x:c r="E53" s="152" t="str">
        <x:v>Deployable for first-pass spatial model</x:v>
      </x:c>
      <x:c r="F53" s="25" t="str">
        <x:v>3'-0" x 7'-0"</x:v>
      </x:c>
      <x:c r="G53" s="143" t="n">
        <x:v>3</x:v>
      </x:c>
      <x:c r="H53" s="143" t="n">
        <x:v>7</x:v>
      </x:c>
      <x:c r="I53" s="146" t="n">
        <x:v>5.311</x:v>
      </x:c>
      <x:c r="J53" s="146" t="n">
        <x:v>-6.476</x:v>
      </x:c>
      <x:c r="K53" s="146" t="n">
        <x:v>42.5</x:v>
      </x:c>
      <x:c r="L53" s="146" t="n">
        <x:v>-51.8</x:v>
      </x:c>
      <x:c r="M53" s="25" t="str">
        <x:v>F2-ABR</x:v>
      </x:c>
      <x:c r="N53" s="25" t="str">
        <x:v>LAB</x:v>
      </x:c>
      <x:c r="O53" s="25" t="str">
        <x:v>Single Glazed Swing</x:v>
      </x:c>
      <x:c r="P53" s="25" t="str">
        <x:v>Glass</x:v>
      </x:c>
      <x:c r="Q53" s="25" t="str">
        <x:v>Single leaf</x:v>
      </x:c>
      <x:c r="R53" s="25" t="str">
        <x:v>Default: swing into associated room; auto-select jamb to avoid wall collision</x:v>
      </x:c>
      <x:c r="S53" s="25" t="str">
        <x:v>Auto-select jamb during build QA</x:v>
      </x:c>
      <x:c r="T53" s="25" t="str">
        <x:v>Auto-select / visual QA</x:v>
      </x:c>
      <x:c r="U53" s="25" t="str">
        <x:v>High</x:v>
      </x:c>
      <x:c r="V53" s="25" t="str">
        <x:v>Post-placement QA only</x:v>
      </x:c>
      <x:c r="W53" s="25" t="str">
        <x:v>Consolidated v2.4 door workbook + uploaded schematic SVGs + user 3ft/6ft glass-door constraints</x:v>
      </x:c>
      <x:c r="X53" s="26" t="str">
        <x:v>Nearest: F2-ABR (8.5 ft), F2-ABS (9.6 ft). | Graphic swing exists in schematic; exact hand/jamb not fully digitized in this pass.</x:v>
      </x:c>
    </x:row>
    <x:row r="54">
      <x:c r="A54" s="24" t="str">
        <x:v>F2-D019</x:v>
      </x:c>
      <x:c r="B54" s="25" t="str">
        <x:v>F2-DR-019</x:v>
      </x:c>
      <x:c r="C54" s="25" t="str">
        <x:v>F2</x:v>
      </x:c>
      <x:c r="D54" s="152" t="str">
        <x:v>Yes</x:v>
      </x:c>
      <x:c r="E54" s="152" t="str">
        <x:v>Deployable for first-pass spatial model</x:v>
      </x:c>
      <x:c r="F54" s="25" t="str">
        <x:v>6'-0" x 7'-0"</x:v>
      </x:c>
      <x:c r="G54" s="143" t="n">
        <x:v>6</x:v>
      </x:c>
      <x:c r="H54" s="143" t="n">
        <x:v>7</x:v>
      </x:c>
      <x:c r="I54" s="146" t="n">
        <x:v>5.453</x:v>
      </x:c>
      <x:c r="J54" s="146" t="n">
        <x:v>-5.81</x:v>
      </x:c>
      <x:c r="K54" s="146" t="n">
        <x:v>43.6</x:v>
      </x:c>
      <x:c r="L54" s="146" t="n">
        <x:v>-46.5</x:v>
      </x:c>
      <x:c r="M54" s="25" t="str">
        <x:v>GEN-F2-CORRIDOR</x:v>
      </x:c>
      <x:c r="N54" s="25" t="str">
        <x:v>Generic corridor / connector opening</x:v>
      </x:c>
      <x:c r="O54" s="25" t="str">
        <x:v>Double Glazed Corridor</x:v>
      </x:c>
      <x:c r="P54" s="25" t="str">
        <x:v>Glass</x:v>
      </x:c>
      <x:c r="Q54" s="25" t="str">
        <x:v>Double leaf pair</x:v>
      </x:c>
      <x:c r="R54" s="25" t="str">
        <x:v>Double pair centered in opening; use both jambs</x:v>
      </x:c>
      <x:c r="S54" s="25" t="str">
        <x:v>Both jambs / paired leaves</x:v>
      </x:c>
      <x:c r="T54" s="25" t="str">
        <x:v>Pair default</x:v>
      </x:c>
      <x:c r="U54" s="25" t="str">
        <x:v>Medium</x:v>
      </x:c>
      <x:c r="V54" s="25" t="str">
        <x:v>Post-placement QA only</x:v>
      </x:c>
      <x:c r="W54" s="25" t="str">
        <x:v>Consolidated v2.4 door workbook + uploaded schematic SVGs + user 3ft/6ft glass-door constraints</x:v>
      </x:c>
      <x:c r="X54" s="26" t="str">
        <x:v>Nearest: F2-ABR (6.6 ft), F2-ABQ (13.1 ft). | Graphic swing exists in schematic; exact hand/jamb not fully digitized in this pass.</x:v>
      </x:c>
    </x:row>
    <x:row r="55">
      <x:c r="A55" s="24" t="str">
        <x:v>F2-D020</x:v>
      </x:c>
      <x:c r="B55" s="25" t="str">
        <x:v>F2-DR-020</x:v>
      </x:c>
      <x:c r="C55" s="25" t="str">
        <x:v>F2</x:v>
      </x:c>
      <x:c r="D55" s="152" t="str">
        <x:v>Yes</x:v>
      </x:c>
      <x:c r="E55" s="152" t="str">
        <x:v>Deployable for first-pass spatial model</x:v>
      </x:c>
      <x:c r="F55" s="25" t="str">
        <x:v>6'-0" x 7'-0"</x:v>
      </x:c>
      <x:c r="G55" s="143" t="n">
        <x:v>6</x:v>
      </x:c>
      <x:c r="H55" s="143" t="n">
        <x:v>7</x:v>
      </x:c>
      <x:c r="I55" s="146" t="n">
        <x:v>5.797</x:v>
      </x:c>
      <x:c r="J55" s="146" t="n">
        <x:v>-3.678</x:v>
      </x:c>
      <x:c r="K55" s="146" t="n">
        <x:v>46.4</x:v>
      </x:c>
      <x:c r="L55" s="146" t="n">
        <x:v>-29.4</x:v>
      </x:c>
      <x:c r="M55" s="25" t="str">
        <x:v>GEN-F2-CORRIDOR</x:v>
      </x:c>
      <x:c r="N55" s="25" t="str">
        <x:v>Generic corridor / connector opening</x:v>
      </x:c>
      <x:c r="O55" s="25" t="str">
        <x:v>Double Glazed Corridor</x:v>
      </x:c>
      <x:c r="P55" s="25" t="str">
        <x:v>Glass</x:v>
      </x:c>
      <x:c r="Q55" s="25" t="str">
        <x:v>Double leaf pair</x:v>
      </x:c>
      <x:c r="R55" s="25" t="str">
        <x:v>Double pair centered in opening; use both jambs</x:v>
      </x:c>
      <x:c r="S55" s="25" t="str">
        <x:v>Both jambs / paired leaves</x:v>
      </x:c>
      <x:c r="T55" s="25" t="str">
        <x:v>Pair default</x:v>
      </x:c>
      <x:c r="U55" s="25" t="str">
        <x:v>Medium</x:v>
      </x:c>
      <x:c r="V55" s="25" t="str">
        <x:v>Post-placement QA only</x:v>
      </x:c>
      <x:c r="W55" s="25" t="str">
        <x:v>Consolidated v2.4 door workbook + uploaded schematic SVGs + user 3ft/6ft glass-door constraints</x:v>
      </x:c>
      <x:c r="X55" s="26" t="str">
        <x:v>Nearest: F2-ABQ (7.4 ft), F2-ABP (9.2 ft). | Graphic swing exists in schematic; exact hand/jamb not fully digitized in this pass.</x:v>
      </x:c>
    </x:row>
    <x:row r="56">
      <x:c r="A56" s="24" t="str">
        <x:v>F2-D021</x:v>
      </x:c>
      <x:c r="B56" s="25" t="str">
        <x:v>F2-DR-021</x:v>
      </x:c>
      <x:c r="C56" s="25" t="str">
        <x:v>F2</x:v>
      </x:c>
      <x:c r="D56" s="152" t="str">
        <x:v>Yes</x:v>
      </x:c>
      <x:c r="E56" s="152" t="str">
        <x:v>Deployable for first-pass spatial model</x:v>
      </x:c>
      <x:c r="F56" s="25" t="str">
        <x:v>3'-0" x 7'-0"</x:v>
      </x:c>
      <x:c r="G56" s="143" t="n">
        <x:v>3</x:v>
      </x:c>
      <x:c r="H56" s="143" t="n">
        <x:v>7</x:v>
      </x:c>
      <x:c r="I56" s="146" t="n">
        <x:v>5.915</x:v>
      </x:c>
      <x:c r="J56" s="146" t="n">
        <x:v>-3.013</x:v>
      </x:c>
      <x:c r="K56" s="146" t="n">
        <x:v>47.3</x:v>
      </x:c>
      <x:c r="L56" s="146" t="n">
        <x:v>-24.1</x:v>
      </x:c>
      <x:c r="M56" s="25" t="str">
        <x:v>F2-ABP</x:v>
      </x:c>
      <x:c r="N56" s="25" t="str">
        <x:v>LAB</x:v>
      </x:c>
      <x:c r="O56" s="25" t="str">
        <x:v>Single Glazed Swing</x:v>
      </x:c>
      <x:c r="P56" s="25" t="str">
        <x:v>Glass</x:v>
      </x:c>
      <x:c r="Q56" s="25" t="str">
        <x:v>Single leaf</x:v>
      </x:c>
      <x:c r="R56" s="25" t="str">
        <x:v>Default: swing into associated room; auto-select jamb to avoid wall collision</x:v>
      </x:c>
      <x:c r="S56" s="25" t="str">
        <x:v>Auto-select jamb during build QA</x:v>
      </x:c>
      <x:c r="T56" s="25" t="str">
        <x:v>Auto-select / visual QA</x:v>
      </x:c>
      <x:c r="U56" s="25" t="str">
        <x:v>High</x:v>
      </x:c>
      <x:c r="V56" s="25" t="str">
        <x:v>Post-placement QA only</x:v>
      </x:c>
      <x:c r="W56" s="25" t="str">
        <x:v>Consolidated v2.4 door workbook + uploaded schematic SVGs + user 3ft/6ft glass-door constraints</x:v>
      </x:c>
      <x:c r="X56" s="26" t="str">
        <x:v>Nearest: F2-ABP (6.9 ft), F2-ABQ (11.9 ft). | Graphic swing exists in schematic; exact hand/jamb not fully digitized in this pass.</x:v>
      </x:c>
    </x:row>
    <x:row r="57">
      <x:c r="A57" s="24" t="str">
        <x:v>F2-D022</x:v>
      </x:c>
      <x:c r="B57" s="25" t="str">
        <x:v>F2-DR-022</x:v>
      </x:c>
      <x:c r="C57" s="25" t="str">
        <x:v>F2</x:v>
      </x:c>
      <x:c r="D57" s="152" t="str">
        <x:v>Yes</x:v>
      </x:c>
      <x:c r="E57" s="152" t="str">
        <x:v>Deployable for first-pass spatial model</x:v>
      </x:c>
      <x:c r="F57" s="25" t="str">
        <x:v>3'-0" x 7'-0"</x:v>
      </x:c>
      <x:c r="G57" s="143" t="n">
        <x:v>3</x:v>
      </x:c>
      <x:c r="H57" s="143" t="n">
        <x:v>7</x:v>
      </x:c>
      <x:c r="I57" s="146" t="n">
        <x:v>7.269</x:v>
      </x:c>
      <x:c r="J57" s="146" t="n">
        <x:v>-1.996</x:v>
      </x:c>
      <x:c r="K57" s="146" t="n">
        <x:v>58.1</x:v>
      </x:c>
      <x:c r="L57" s="146" t="n">
        <x:v>-16</x:v>
      </x:c>
      <x:c r="M57" s="25" t="str">
        <x:v>F2-ABO</x:v>
      </x:c>
      <x:c r="N57" s="25" t="str">
        <x:v>PROG. MGR.</x:v>
      </x:c>
      <x:c r="O57" s="25" t="str">
        <x:v>Single Glazed Swing</x:v>
      </x:c>
      <x:c r="P57" s="25" t="str">
        <x:v>Glass</x:v>
      </x:c>
      <x:c r="Q57" s="25" t="str">
        <x:v>Single leaf</x:v>
      </x:c>
      <x:c r="R57" s="25" t="str">
        <x:v>Default: swing into associated room; auto-select jamb to avoid wall collision</x:v>
      </x:c>
      <x:c r="S57" s="25" t="str">
        <x:v>Auto-select jamb during build QA</x:v>
      </x:c>
      <x:c r="T57" s="25" t="str">
        <x:v>Auto-select / visual QA</x:v>
      </x:c>
      <x:c r="U57" s="25" t="str">
        <x:v>High</x:v>
      </x:c>
      <x:c r="V57" s="25" t="str">
        <x:v>Post-placement QA only</x:v>
      </x:c>
      <x:c r="W57" s="25" t="str">
        <x:v>Consolidated v2.4 door workbook + uploaded schematic SVGs + user 3ft/6ft glass-door constraints</x:v>
      </x:c>
      <x:c r="X57" s="26" t="str">
        <x:v>Nearest: F2-ABO (6.8 ft), F2-ABP (9.5 ft). | Graphic swing exists in schematic; exact hand/jamb not fully digitized in this pass.</x:v>
      </x:c>
    </x:row>
    <x:row r="58">
      <x:c r="A58" s="24" t="str">
        <x:v>F2-D023</x:v>
      </x:c>
      <x:c r="B58" s="25" t="str">
        <x:v>F2-DR-023</x:v>
      </x:c>
      <x:c r="C58" s="25" t="str">
        <x:v>F2</x:v>
      </x:c>
      <x:c r="D58" s="152" t="str">
        <x:v>Yes</x:v>
      </x:c>
      <x:c r="E58" s="152" t="str">
        <x:v>Deployable for first-pass spatial model</x:v>
      </x:c>
      <x:c r="F58" s="25" t="str">
        <x:v>6'-0" x 7'-0"</x:v>
      </x:c>
      <x:c r="G58" s="143" t="n">
        <x:v>6</x:v>
      </x:c>
      <x:c r="H58" s="143" t="n">
        <x:v>7</x:v>
      </x:c>
      <x:c r="I58" s="146" t="n">
        <x:v>8.863</x:v>
      </x:c>
      <x:c r="J58" s="146" t="n">
        <x:v>1.581</x:v>
      </x:c>
      <x:c r="K58" s="146" t="n">
        <x:v>70.9</x:v>
      </x:c>
      <x:c r="L58" s="146" t="n">
        <x:v>12.7</x:v>
      </x:c>
      <x:c r="M58" s="25" t="str">
        <x:v>GEN-F2-STAIR-LOBBY</x:v>
      </x:c>
      <x:c r="N58" s="25" t="str">
        <x:v>Generic stair / open-lobby context</x:v>
      </x:c>
      <x:c r="O58" s="25" t="str">
        <x:v>Double Glazed Stair/Lobby</x:v>
      </x:c>
      <x:c r="P58" s="25" t="str">
        <x:v>Glass</x:v>
      </x:c>
      <x:c r="Q58" s="25" t="str">
        <x:v>Double leaf pair</x:v>
      </x:c>
      <x:c r="R58" s="25" t="str">
        <x:v>Double pair centered in opening; use both jambs</x:v>
      </x:c>
      <x:c r="S58" s="25" t="str">
        <x:v>Both jambs / paired leaves</x:v>
      </x:c>
      <x:c r="T58" s="25" t="str">
        <x:v>Pair default</x:v>
      </x:c>
      <x:c r="U58" s="25" t="str">
        <x:v>Medium</x:v>
      </x:c>
      <x:c r="V58" s="25" t="str">
        <x:v>Post-placement QA only</x:v>
      </x:c>
      <x:c r="W58" s="25" t="str">
        <x:v>Consolidated v2.4 door workbook + uploaded schematic SVGs + user 3ft/6ft glass-door constraints</x:v>
      </x:c>
      <x:c r="X58" s="26" t="str">
        <x:v>Nearest: F2-AAT (10.5 ft), F2-ABU (13.6 ft). F2-AAT = stair/opening only. | Stair-adjacent marker only; do not generate stairs. | Graphic swing exists in schematic; exact hand/jamb not fully digitized in this pass. | F2-AAT is stair/slab opening context only; do not generate stair geometry.</x:v>
      </x:c>
    </x:row>
    <x:row r="59">
      <x:c r="A59" s="24" t="str">
        <x:v>F2-D024</x:v>
      </x:c>
      <x:c r="B59" s="25" t="str">
        <x:v>F2-DR-024</x:v>
      </x:c>
      <x:c r="C59" s="25" t="str">
        <x:v>F2</x:v>
      </x:c>
      <x:c r="D59" s="152" t="str">
        <x:v>Yes</x:v>
      </x:c>
      <x:c r="E59" s="152" t="str">
        <x:v>Deployable for first-pass spatial model</x:v>
      </x:c>
      <x:c r="F59" s="25" t="str">
        <x:v>3'-0" x 7'-0"</x:v>
      </x:c>
      <x:c r="G59" s="143" t="n">
        <x:v>3</x:v>
      </x:c>
      <x:c r="H59" s="143" t="n">
        <x:v>7</x:v>
      </x:c>
      <x:c r="I59" s="146" t="n">
        <x:v>9.175</x:v>
      </x:c>
      <x:c r="J59" s="146" t="n">
        <x:v>-0.851</x:v>
      </x:c>
      <x:c r="K59" s="146" t="n">
        <x:v>73.4</x:v>
      </x:c>
      <x:c r="L59" s="146" t="n">
        <x:v>-6.8</x:v>
      </x:c>
      <x:c r="M59" s="25" t="str">
        <x:v>F2-ABO</x:v>
      </x:c>
      <x:c r="N59" s="25" t="str">
        <x:v>PROG. MGR.</x:v>
      </x:c>
      <x:c r="O59" s="25" t="str">
        <x:v>Single Glazed Swing</x:v>
      </x:c>
      <x:c r="P59" s="25" t="str">
        <x:v>Glass</x:v>
      </x:c>
      <x:c r="Q59" s="25" t="str">
        <x:v>Single leaf</x:v>
      </x:c>
      <x:c r="R59" s="25" t="str">
        <x:v>Default: swing into associated room; auto-select jamb to avoid wall collision</x:v>
      </x:c>
      <x:c r="S59" s="25" t="str">
        <x:v>Auto-select jamb during build QA</x:v>
      </x:c>
      <x:c r="T59" s="25" t="str">
        <x:v>Auto-select / visual QA</x:v>
      </x:c>
      <x:c r="U59" s="25" t="str">
        <x:v>Medium</x:v>
      </x:c>
      <x:c r="V59" s="25" t="str">
        <x:v>Post-placement QA only</x:v>
      </x:c>
      <x:c r="W59" s="25" t="str">
        <x:v>Consolidated v2.4 door workbook + uploaded schematic SVGs + user 3ft/6ft glass-door constraints</x:v>
      </x:c>
      <x:c r="X59" s="26" t="str">
        <x:v>Nearest: F2-ABO (12.2 ft), F2-ABT (16.2 ft). | Graphic swing exists in schematic; exact hand/jamb not fully digitized in this pass.</x:v>
      </x:c>
    </x:row>
    <x:row r="60">
      <x:c r="A60" s="24" t="str">
        <x:v>F2-D025</x:v>
      </x:c>
      <x:c r="B60" s="25" t="str">
        <x:v>F2-DR-025</x:v>
      </x:c>
      <x:c r="C60" s="25" t="str">
        <x:v>F2</x:v>
      </x:c>
      <x:c r="D60" s="152" t="str">
        <x:v>Yes</x:v>
      </x:c>
      <x:c r="E60" s="152" t="str">
        <x:v>Deployable for first-pass spatial model</x:v>
      </x:c>
      <x:c r="F60" s="25" t="str">
        <x:v>6'-0" x 7'-0"</x:v>
      </x:c>
      <x:c r="G60" s="143" t="n">
        <x:v>6</x:v>
      </x:c>
      <x:c r="H60" s="143" t="n">
        <x:v>7</x:v>
      </x:c>
      <x:c r="I60" s="146" t="n">
        <x:v>9.232</x:v>
      </x:c>
      <x:c r="J60" s="146" t="n">
        <x:v>-0.076</x:v>
      </x:c>
      <x:c r="K60" s="146" t="n">
        <x:v>73.9</x:v>
      </x:c>
      <x:c r="L60" s="146" t="n">
        <x:v>-0.6</x:v>
      </x:c>
      <x:c r="M60" s="25" t="str">
        <x:v>GEN-F2-CORRIDOR</x:v>
      </x:c>
      <x:c r="N60" s="25" t="str">
        <x:v>Generic corridor / connector opening</x:v>
      </x:c>
      <x:c r="O60" s="25" t="str">
        <x:v>Double Glazed Stair/Lobby</x:v>
      </x:c>
      <x:c r="P60" s="25" t="str">
        <x:v>Glass</x:v>
      </x:c>
      <x:c r="Q60" s="25" t="str">
        <x:v>Double leaf pair</x:v>
      </x:c>
      <x:c r="R60" s="25" t="str">
        <x:v>Double pair centered in opening; use both jambs</x:v>
      </x:c>
      <x:c r="S60" s="25" t="str">
        <x:v>Both jambs / paired leaves</x:v>
      </x:c>
      <x:c r="T60" s="25" t="str">
        <x:v>Pair default</x:v>
      </x:c>
      <x:c r="U60" s="25" t="str">
        <x:v>Medium</x:v>
      </x:c>
      <x:c r="V60" s="25" t="str">
        <x:v>Post-placement QA only</x:v>
      </x:c>
      <x:c r="W60" s="25" t="str">
        <x:v>Consolidated v2.4 door workbook + uploaded schematic SVGs + user 3ft/6ft glass-door constraints</x:v>
      </x:c>
      <x:c r="X60" s="26" t="str">
        <x:v>Nearest: F2-ABO (15.5 ft), F2-AAT (17.2 ft). F2-AAT = stair/opening only. | Graphic swing exists in schematic; exact hand/jamb not fully digitized in this pass. | F2-AAT is stair/slab opening context only; do not generate stair geometry.</x:v>
      </x:c>
    </x:row>
    <x:row r="61">
      <x:c r="A61" s="24" t="str">
        <x:v>F2-D026</x:v>
      </x:c>
      <x:c r="B61" s="25" t="str">
        <x:v>F2-DR-026</x:v>
      </x:c>
      <x:c r="C61" s="25" t="str">
        <x:v>F2</x:v>
      </x:c>
      <x:c r="D61" s="152" t="str">
        <x:v>Yes</x:v>
      </x:c>
      <x:c r="E61" s="152" t="str">
        <x:v>Deployable for first-pass spatial model</x:v>
      </x:c>
      <x:c r="F61" s="25" t="str">
        <x:v>3'-0" x 7'-0"</x:v>
      </x:c>
      <x:c r="G61" s="143" t="n">
        <x:v>3</x:v>
      </x:c>
      <x:c r="H61" s="143" t="n">
        <x:v>7</x:v>
      </x:c>
      <x:c r="I61" s="146" t="n">
        <x:v>9.492</x:v>
      </x:c>
      <x:c r="J61" s="146" t="n">
        <x:v>2.556</x:v>
      </x:c>
      <x:c r="K61" s="146" t="n">
        <x:v>75.9</x:v>
      </x:c>
      <x:c r="L61" s="146" t="n">
        <x:v>20.4</x:v>
      </x:c>
      <x:c r="M61" s="25" t="str">
        <x:v>F2-ABU</x:v>
      </x:c>
      <x:c r="N61" s="25" t="str">
        <x:v>HIGH-BAY OVERLOOK</x:v>
      </x:c>
      <x:c r="O61" s="25" t="str">
        <x:v>Single Glazed Stair/Lobby</x:v>
      </x:c>
      <x:c r="P61" s="25" t="str">
        <x:v>Glass</x:v>
      </x:c>
      <x:c r="Q61" s="25" t="str">
        <x:v>Single leaf</x:v>
      </x:c>
      <x:c r="R61" s="25" t="str">
        <x:v>Stair/lobby marker; preserve opening, no stair geometry</x:v>
      </x:c>
      <x:c r="S61" s="25" t="str">
        <x:v>Auto-select jamb during build QA</x:v>
      </x:c>
      <x:c r="T61" s="25" t="str">
        <x:v>Auto-select / visual QA</x:v>
      </x:c>
      <x:c r="U61" s="25" t="str">
        <x:v>High</x:v>
      </x:c>
      <x:c r="V61" s="25" t="str">
        <x:v>Post-placement QA only</x:v>
      </x:c>
      <x:c r="W61" s="25" t="str">
        <x:v>Consolidated v2.4 door workbook + uploaded schematic SVGs + user 3ft/6ft glass-door constraints</x:v>
      </x:c>
      <x:c r="X61" s="26" t="str">
        <x:v>Nearest: F2-ABU (4.6 ft), F2-AAT (18.3 ft). F2-AAT = stair/opening only. | Graphic swing exists in schematic; exact hand/jamb not fully digitized in this pass. | F2-AAT is stair/slab opening context only; do not generate stair geometry.</x:v>
      </x:c>
    </x:row>
    <x:row r="62">
      <x:c r="A62" s="24" t="str">
        <x:v>F2-D027</x:v>
      </x:c>
      <x:c r="B62" s="25" t="str">
        <x:v>GEM-F2-COR-01</x:v>
      </x:c>
      <x:c r="C62" s="25" t="str">
        <x:v>F2</x:v>
      </x:c>
      <x:c r="D62" s="152" t="str">
        <x:v>No</x:v>
      </x:c>
      <x:c r="E62" s="152" t="str">
        <x:v>Reference only - blocked</x:v>
      </x:c>
      <x:c r="F62" s="25" t="str">
        <x:v>6'-0" x 7'-0"</x:v>
      </x:c>
      <x:c r="G62" s="143" t="n">
        <x:v>6</x:v>
      </x:c>
      <x:c r="H62" s="143" t="n">
        <x:v>7</x:v>
      </x:c>
      <x:c r="I62" s="146" t="n">
        <x:v>-4</x:v>
      </x:c>
      <x:c r="J62" s="146" t="n">
        <x:v>0.5</x:v>
      </x:c>
      <x:c r="K62" s="146" t="n">
        <x:v>-32</x:v>
      </x:c>
      <x:c r="L62" s="146" t="n">
        <x:v>4</x:v>
      </x:c>
      <x:c r="M62" s="25" t="str">
        <x:v>GEN-F2-EXISTING-CONNECT</x:v>
      </x:c>
      <x:c r="N62" s="25" t="str">
        <x:v>Existing Tyler connector marker</x:v>
      </x:c>
      <x:c r="O62" s="25" t="str">
        <x:v>Glazed Reference Pair</x:v>
      </x:c>
      <x:c r="P62" s="25" t="str">
        <x:v>Glass</x:v>
      </x:c>
      <x:c r="Q62" s="25" t="str">
        <x:v>Double leaf pair</x:v>
      </x:c>
      <x:c r="R62" s="25" t="str">
        <x:v>Reference marker only; do not build by default</x:v>
      </x:c>
      <x:c r="S62" s="25" t="str">
        <x:v>Both jambs / paired leaves</x:v>
      </x:c>
      <x:c r="T62" s="25" t="str">
        <x:v>Pair default</x:v>
      </x:c>
      <x:c r="U62" s="25" t="str">
        <x:v>Medium</x:v>
      </x:c>
      <x:c r="V62" s="25" t="str">
        <x:v>Do not generate unless sealed-existing directive changes</x:v>
      </x:c>
      <x:c r="W62" s="25" t="str">
        <x:v>Consolidated v2.4 door workbook + uploaded schematic SVGs + user 3ft/6ft glass-door constraints</x:v>
      </x:c>
      <x:c r="X62" s="26" t="str">
        <x:v>Reference only unless sealed existing directive is changed. | Existing Tyler remains sealed/no-entry unless directive changes. | Existing Tyler remains sealed/no-entry in current deployment rules.</x:v>
      </x:c>
    </x:row>
    <x:row r="63">
      <x:c r="A63" s="27" t="str">
        <x:v>F2-D028</x:v>
      </x:c>
      <x:c r="B63" s="28" t="str">
        <x:v>GEM-F2-COR-02</x:v>
      </x:c>
      <x:c r="C63" s="28" t="str">
        <x:v>F2</x:v>
      </x:c>
      <x:c r="D63" s="153" t="str">
        <x:v>Yes</x:v>
      </x:c>
      <x:c r="E63" s="153" t="str">
        <x:v>Deployable for first-pass spatial model</x:v>
      </x:c>
      <x:c r="F63" s="28" t="str">
        <x:v>6'-0" x 7'-0"</x:v>
      </x:c>
      <x:c r="G63" s="150" t="n">
        <x:v>6</x:v>
      </x:c>
      <x:c r="H63" s="150" t="n">
        <x:v>7</x:v>
      </x:c>
      <x:c r="I63" s="147" t="n">
        <x:v>6</x:v>
      </x:c>
      <x:c r="J63" s="147" t="n">
        <x:v>2.5</x:v>
      </x:c>
      <x:c r="K63" s="147" t="n">
        <x:v>48</x:v>
      </x:c>
      <x:c r="L63" s="147" t="n">
        <x:v>20</x:v>
      </x:c>
      <x:c r="M63" s="28" t="str">
        <x:v>GEN-F2-STAIR-LOBBY</x:v>
      </x:c>
      <x:c r="N63" s="28" t="str">
        <x:v>Generic stair corridor</x:v>
      </x:c>
      <x:c r="O63" s="28" t="str">
        <x:v>Double Glazed Stair/Lobby</x:v>
      </x:c>
      <x:c r="P63" s="28" t="str">
        <x:v>Glass</x:v>
      </x:c>
      <x:c r="Q63" s="28" t="str">
        <x:v>Double leaf pair</x:v>
      </x:c>
      <x:c r="R63" s="28" t="str">
        <x:v>Double pair centered in opening; use both jambs</x:v>
      </x:c>
      <x:c r="S63" s="28" t="str">
        <x:v>Both jambs / paired leaves</x:v>
      </x:c>
      <x:c r="T63" s="28" t="str">
        <x:v>Pair default</x:v>
      </x:c>
      <x:c r="U63" s="28" t="str">
        <x:v>Medium</x:v>
      </x:c>
      <x:c r="V63" s="28" t="str">
        <x:v>Post-placement QA only</x:v>
      </x:c>
      <x:c r="W63" s="28" t="str">
        <x:v>Consolidated v2.4 door workbook + uploaded schematic SVGs + user 3ft/6ft glass-door constraints</x:v>
      </x:c>
      <x:c r="X63" s="29" t="str">
        <x:v>F2-AAT remains stair cutout/slab opening; not an occupied room door. | Stair-adjacent marker only; do not generate stairs. | Graphic swing exists in schematic; exact hand/jamb not fully digitized in this pass. | F2-AAT is stair/slab opening context only; do not generate stair geometry.</x:v>
      </x:c>
    </x:row>
  </x:sheetData>
  <x:pageMargins left="0.7" right="0.7" top="0.75" bottom="0.75" header="0.3" footer="0.3"/>
  <x:tableParts count="1">
    <x:tablePart xmlns:r="http://schemas.openxmlformats.org/officeDocument/2006/relationships" r:id="R477482adbd8e4f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8" hidden="0" customWidth="1"/>
    <x:col min="4" max="4" width="13" hidden="0" customWidth="1"/>
    <x:col min="5" max="5" width="28" hidden="0" customWidth="1"/>
    <x:col min="6" max="6" width="15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8" hidden="0" customWidth="1"/>
    <x:col min="14" max="14" width="26" hidden="0" customWidth="1"/>
    <x:col min="15" max="15" width="24" hidden="0" customWidth="1"/>
    <x:col min="16" max="16" width="12" hidden="0" customWidth="1"/>
    <x:col min="17" max="17" width="18" hidden="0" customWidth="1"/>
    <x:col min="18" max="18" width="34" hidden="0" customWidth="1"/>
    <x:col min="19" max="19" width="28" hidden="0" customWidth="1"/>
    <x:col min="20" max="20" width="22" hidden="0" customWidth="1"/>
    <x:col min="21" max="21" width="14" hidden="0" customWidth="1"/>
    <x:col min="22" max="22" width="24" hidden="0" customWidth="1"/>
    <x:col min="23" max="23" width="42" hidden="0" customWidth="1"/>
    <x:col min="24" max="24" width="60" hidden="0" customWidth="1"/>
  </x:cols>
  <x:sheetData>
    <x:row r="1" ht="40" customHeight="1">
      <x:c r="A1" s="70" t="str">
        <x:v>Deploy_ID</x:v>
      </x:c>
      <x:c r="B1" s="71" t="str">
        <x:v>Legacy_Door_ID</x:v>
      </x:c>
      <x:c r="C1" s="71" t="str">
        <x:v>Floor</x:v>
      </x:c>
      <x:c r="D1" s="71" t="str">
        <x:v>Deploy_Include</x:v>
      </x:c>
      <x:c r="E1" s="71" t="str">
        <x:v>Deploy_Status</x:v>
      </x:c>
      <x:c r="F1" s="71" t="str">
        <x:v>Door_Size</x:v>
      </x:c>
      <x:c r="G1" s="71" t="str">
        <x:v>Width_FT</x:v>
      </x:c>
      <x:c r="H1" s="71" t="str">
        <x:v>Height_FT</x:v>
      </x:c>
      <x:c r="I1" s="71" t="str">
        <x:v>Center_Grid_X</x:v>
      </x:c>
      <x:c r="J1" s="71" t="str">
        <x:v>Center_Grid_Y</x:v>
      </x:c>
      <x:c r="K1" s="71" t="str">
        <x:v>Center_Feet_X</x:v>
      </x:c>
      <x:c r="L1" s="71" t="str">
        <x:v>Center_Feet_Y</x:v>
      </x:c>
      <x:c r="M1" s="71" t="str">
        <x:v>Related_ID</x:v>
      </x:c>
      <x:c r="N1" s="71" t="str">
        <x:v>Related_Room_or_Zone</x:v>
      </x:c>
      <x:c r="O1" s="71" t="str">
        <x:v>Door_Type</x:v>
      </x:c>
      <x:c r="P1" s="71" t="str">
        <x:v>Door_Material</x:v>
      </x:c>
      <x:c r="Q1" s="71" t="str">
        <x:v>Leaf_Type</x:v>
      </x:c>
      <x:c r="R1" s="71" t="str">
        <x:v>Swing_Model</x:v>
      </x:c>
      <x:c r="S1" s="71" t="str">
        <x:v>Hinge_Model</x:v>
      </x:c>
      <x:c r="T1" s="71" t="str">
        <x:v>Exact_Handing_Status</x:v>
      </x:c>
      <x:c r="U1" s="71" t="str">
        <x:v>Confidence</x:v>
      </x:c>
      <x:c r="V1" s="71" t="str">
        <x:v>Verification_Action</x:v>
      </x:c>
      <x:c r="W1" s="71" t="str">
        <x:v>Source_Basis</x:v>
      </x:c>
      <x:c r="X1" s="72" t="str">
        <x:v>Deployment_Notes</x:v>
      </x:c>
    </x:row>
    <x:row r="2">
      <x:c r="A2" s="24" t="str">
        <x:v>F1-D028</x:v>
      </x:c>
      <x:c r="B2" s="25" t="str">
        <x:v>F1-DR-028</x:v>
      </x:c>
      <x:c r="C2" s="25" t="str">
        <x:v>F1</x:v>
      </x:c>
      <x:c r="D2" s="156" t="str">
        <x:v>Yes - flagged</x:v>
      </x:c>
      <x:c r="E2" s="156" t="str">
        <x:v>Pre-build visual check</x:v>
      </x:c>
      <x:c r="F2" s="25" t="str">
        <x:v>3'-0" x 8'-0"</x:v>
      </x:c>
      <x:c r="G2" s="143" t="n">
        <x:v>3</x:v>
      </x:c>
      <x:c r="H2" s="143" t="n">
        <x:v>8</x:v>
      </x:c>
      <x:c r="I2" s="146" t="n">
        <x:v>11.275</x:v>
      </x:c>
      <x:c r="J2" s="146" t="n">
        <x:v>11.611</x:v>
      </x:c>
      <x:c r="K2" s="146" t="n">
        <x:v>90.2</x:v>
      </x:c>
      <x:c r="L2" s="146" t="n">
        <x:v>92.9</x:v>
      </x:c>
      <x:c r="M2" s="25" t="str">
        <x:v>F1-AAW</x:v>
      </x:c>
      <x:c r="N2" s="25" t="str">
        <x:v>HIGH-BAY PRODUCTION LABS</x:v>
      </x:c>
      <x:c r="O2" s="25" t="str">
        <x:v>Single Glazed Exterior</x:v>
      </x:c>
      <x:c r="P2" s="25" t="str">
        <x:v>Glass</x:v>
      </x:c>
      <x:c r="Q2" s="25" t="str">
        <x:v>Single leaf</x:v>
      </x:c>
      <x:c r="R2" s="25" t="str">
        <x:v>Exterior/service doors swing outward</x:v>
      </x:c>
      <x:c r="S2" s="25" t="str">
        <x:v>Auto-select jamb during build QA</x:v>
      </x:c>
      <x:c r="T2" s="25" t="str">
        <x:v>Auto-select / visual QA</x:v>
      </x:c>
      <x:c r="U2" s="25" t="str">
        <x:v>Medium</x:v>
      </x:c>
      <x:c r="V2" s="25" t="str">
        <x:v>Build only after quick high-bay/exterior opening check</x:v>
      </x:c>
      <x:c r="W2" s="25" t="str">
        <x:v>Consolidated v2.4 door workbook + uploaded schematic SVGs + user 3ft/6ft glass-door constraints</x:v>
      </x:c>
      <x:c r="X2" s="26" t="str">
        <x:v>Nearest: F1-AAW (68.0 ft), F1-AAI (104.3 ft). Verify against explicit high-bay door callout. | Graphic swing exists in schematic; exact hand/jamb not fully digitized in this pass.</x:v>
      </x:c>
    </x:row>
    <x:row r="3">
      <x:c r="A3" s="24" t="str">
        <x:v>F1-D032</x:v>
      </x:c>
      <x:c r="B3" s="25" t="str">
        <x:v>GEM-F1-EXT-02</x:v>
      </x:c>
      <x:c r="C3" s="25" t="str">
        <x:v>F1</x:v>
      </x:c>
      <x:c r="D3" s="156" t="str">
        <x:v>Yes - flagged</x:v>
      </x:c>
      <x:c r="E3" s="156" t="str">
        <x:v>Pre-build visual check</x:v>
      </x:c>
      <x:c r="F3" s="25" t="str">
        <x:v>6'-0" x 8'-0"</x:v>
      </x:c>
      <x:c r="G3" s="143" t="n">
        <x:v>6</x:v>
      </x:c>
      <x:c r="H3" s="143" t="n">
        <x:v>8</x:v>
      </x:c>
      <x:c r="I3" s="146" t="n">
        <x:v>12</x:v>
      </x:c>
      <x:c r="J3" s="146" t="n">
        <x:v>14</x:v>
      </x:c>
      <x:c r="K3" s="146" t="n">
        <x:v>96</x:v>
      </x:c>
      <x:c r="L3" s="146" t="n">
        <x:v>112</x:v>
      </x:c>
      <x:c r="M3" s="25" t="str">
        <x:v>F1-AAW</x:v>
      </x:c>
      <x:c r="N3" s="25" t="str">
        <x:v>HIGH-BAY PRODUCTION LABS</x:v>
      </x:c>
      <x:c r="O3" s="25" t="str">
        <x:v>Double Glazed Service</x:v>
      </x:c>
      <x:c r="P3" s="25" t="str">
        <x:v>Glass</x:v>
      </x:c>
      <x:c r="Q3" s="25" t="str">
        <x:v>Double leaf pair</x:v>
      </x:c>
      <x:c r="R3" s="25" t="str">
        <x:v>Exterior/service doors swing outward</x:v>
      </x:c>
      <x:c r="S3" s="25" t="str">
        <x:v>Both jambs / paired leaves</x:v>
      </x:c>
      <x:c r="T3" s="25" t="str">
        <x:v>Pair default</x:v>
      </x:c>
      <x:c r="U3" s="25" t="str">
        <x:v>Low / Verify</x:v>
      </x:c>
      <x:c r="V3" s="25" t="str">
        <x:v>Build only after quick high-bay/exterior opening check</x:v>
      </x:c>
      <x:c r="W3" s="25" t="str">
        <x:v>Consolidated v2.4 door workbook + uploaded schematic SVGs + user 3ft/6ft glass-door constraints</x:v>
      </x:c>
      <x:c r="X3" s="26" t="str">
        <x:v>Gemini notes original opening may be larger/overhead; width retained as 6 ft per user simplification. Verify against explicit first-floor door note.</x:v>
      </x:c>
    </x:row>
    <x:row r="4">
      <x:c r="A4" s="24" t="str">
        <x:v>F1-D034</x:v>
      </x:c>
      <x:c r="B4" s="25" t="str">
        <x:v>GEM-F1-COR-03</x:v>
      </x:c>
      <x:c r="C4" s="25" t="str">
        <x:v>F1</x:v>
      </x:c>
      <x:c r="D4" s="156" t="str">
        <x:v>No</x:v>
      </x:c>
      <x:c r="E4" s="156" t="str">
        <x:v>Reference only - blocked</x:v>
      </x:c>
      <x:c r="F4" s="25" t="str">
        <x:v>6'-0" x 7'-0"</x:v>
      </x:c>
      <x:c r="G4" s="143" t="n">
        <x:v>6</x:v>
      </x:c>
      <x:c r="H4" s="143" t="n">
        <x:v>7</x:v>
      </x:c>
      <x:c r="I4" s="146" t="n">
        <x:v>-4</x:v>
      </x:c>
      <x:c r="J4" s="146" t="n">
        <x:v>0.5</x:v>
      </x:c>
      <x:c r="K4" s="146" t="n">
        <x:v>-32</x:v>
      </x:c>
      <x:c r="L4" s="146" t="n">
        <x:v>4</x:v>
      </x:c>
      <x:c r="M4" s="25" t="str">
        <x:v>GEN-F1-EXISTING-CONNECT</x:v>
      </x:c>
      <x:c r="N4" s="25" t="str">
        <x:v>Existing Tyler connector marker</x:v>
      </x:c>
      <x:c r="O4" s="25" t="str">
        <x:v>Glazed Reference Pair</x:v>
      </x:c>
      <x:c r="P4" s="25" t="str">
        <x:v>Glass</x:v>
      </x:c>
      <x:c r="Q4" s="25" t="str">
        <x:v>Double leaf pair</x:v>
      </x:c>
      <x:c r="R4" s="25" t="str">
        <x:v>Reference marker only; do not build by default</x:v>
      </x:c>
      <x:c r="S4" s="25" t="str">
        <x:v>Both jambs / paired leaves</x:v>
      </x:c>
      <x:c r="T4" s="25" t="str">
        <x:v>Pair default</x:v>
      </x:c>
      <x:c r="U4" s="25" t="str">
        <x:v>Medium</x:v>
      </x:c>
      <x:c r="V4" s="25" t="str">
        <x:v>Do not generate unless sealed-existing directive changes</x:v>
      </x:c>
      <x:c r="W4" s="25" t="str">
        <x:v>Consolidated v2.4 door workbook + uploaded schematic SVGs + user 3ft/6ft glass-door constraints</x:v>
      </x:c>
      <x:c r="X4" s="26" t="str">
        <x:v>Reference only unless sealed existing directive is changed. | Existing Tyler remains sealed/no-entry unless directive changes. | Existing Tyler remains sealed/no-entry in current deployment rules.</x:v>
      </x:c>
    </x:row>
    <x:row r="5">
      <x:c r="A5" s="27" t="str">
        <x:v>F2-D027</x:v>
      </x:c>
      <x:c r="B5" s="28" t="str">
        <x:v>GEM-F2-COR-01</x:v>
      </x:c>
      <x:c r="C5" s="28" t="str">
        <x:v>F2</x:v>
      </x:c>
      <x:c r="D5" s="157" t="str">
        <x:v>No</x:v>
      </x:c>
      <x:c r="E5" s="157" t="str">
        <x:v>Reference only - blocked</x:v>
      </x:c>
      <x:c r="F5" s="28" t="str">
        <x:v>6'-0" x 7'-0"</x:v>
      </x:c>
      <x:c r="G5" s="150" t="n">
        <x:v>6</x:v>
      </x:c>
      <x:c r="H5" s="150" t="n">
        <x:v>7</x:v>
      </x:c>
      <x:c r="I5" s="147" t="n">
        <x:v>-4</x:v>
      </x:c>
      <x:c r="J5" s="147" t="n">
        <x:v>0.5</x:v>
      </x:c>
      <x:c r="K5" s="147" t="n">
        <x:v>-32</x:v>
      </x:c>
      <x:c r="L5" s="147" t="n">
        <x:v>4</x:v>
      </x:c>
      <x:c r="M5" s="28" t="str">
        <x:v>GEN-F2-EXISTING-CONNECT</x:v>
      </x:c>
      <x:c r="N5" s="28" t="str">
        <x:v>Existing Tyler connector marker</x:v>
      </x:c>
      <x:c r="O5" s="28" t="str">
        <x:v>Glazed Reference Pair</x:v>
      </x:c>
      <x:c r="P5" s="28" t="str">
        <x:v>Glass</x:v>
      </x:c>
      <x:c r="Q5" s="28" t="str">
        <x:v>Double leaf pair</x:v>
      </x:c>
      <x:c r="R5" s="28" t="str">
        <x:v>Reference marker only; do not build by default</x:v>
      </x:c>
      <x:c r="S5" s="28" t="str">
        <x:v>Both jambs / paired leaves</x:v>
      </x:c>
      <x:c r="T5" s="28" t="str">
        <x:v>Pair default</x:v>
      </x:c>
      <x:c r="U5" s="28" t="str">
        <x:v>Medium</x:v>
      </x:c>
      <x:c r="V5" s="28" t="str">
        <x:v>Do not generate unless sealed-existing directive changes</x:v>
      </x:c>
      <x:c r="W5" s="28" t="str">
        <x:v>Consolidated v2.4 door workbook + uploaded schematic SVGs + user 3ft/6ft glass-door constraints</x:v>
      </x:c>
      <x:c r="X5" s="29" t="str">
        <x:v>Reference only unless sealed existing directive is changed. | Existing Tyler remains sealed/no-entry unless directive changes. | Existing Tyler remains sealed/no-entry in current deployment rules.</x:v>
      </x:c>
    </x:row>
  </x:sheetData>
  <x:pageMargins left="0.7" right="0.7" top="0.75" bottom="0.75" header="0.3" footer="0.3"/>
  <x:tableParts count="1">
    <x:tablePart xmlns:r="http://schemas.openxmlformats.org/officeDocument/2006/relationships" r:id="R36786b7fad0848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8" hidden="0" customWidth="1"/>
    <x:col min="4" max="4" width="28" hidden="0" customWidth="1"/>
    <x:col min="5" max="5" width="14" hidden="0" customWidth="1"/>
    <x:col min="6" max="6" width="36" hidden="0" customWidth="1"/>
    <x:col min="7" max="7" width="64" hidden="0" customWidth="1"/>
  </x:cols>
  <x:sheetData>
    <x:row r="1" ht="40" customHeight="1">
      <x:c r="A1" s="70" t="str">
        <x:v>Deploy_ID</x:v>
      </x:c>
      <x:c r="B1" s="71" t="str">
        <x:v>Legacy_Door_ID</x:v>
      </x:c>
      <x:c r="C1" s="71" t="str">
        <x:v>Floor</x:v>
      </x:c>
      <x:c r="D1" s="71" t="str">
        <x:v>Issue_Type</x:v>
      </x:c>
      <x:c r="E1" s="71" t="str">
        <x:v>Severity</x:v>
      </x:c>
      <x:c r="F1" s="71" t="str">
        <x:v>Action</x:v>
      </x:c>
      <x:c r="G1" s="72" t="str">
        <x:v>Notes</x:v>
      </x:c>
    </x:row>
    <x:row r="2">
      <x:c r="A2" s="24" t="str">
        <x:v>Restroom material update</x:v>
      </x:c>
      <x:c r="B2" s="25" t="str">
        <x:v>F1-D010 / F1-D011 / F1-D017</x:v>
      </x:c>
      <x:c r="C2" s="25" t="str">
        <x:v>Solid wood restroom doors</x:v>
      </x:c>
      <x:c r="D2" s="160" t="str">
        <x:v>Use warm light wood color matching existing-building wood trim/casing; no glass panels.</x:v>
      </x:c>
      <x:c r="E2" s="160" t="str">
        <x:v>Low</x:v>
      </x:c>
      <x:c r="F2" s="25" t="str">
        <x:v>Use deployment swing default; visually QA after placement.</x:v>
      </x:c>
      <x:c r="G2" s="26" t="str">
        <x:v>Nearest: F1-AAE (5.5 ft), F1-AAM (15.6 ft). | Graphic swing exists in schematic; exact hand/jamb not fully digitized in this pass.</x:v>
      </x:c>
    </x:row>
    <x:row r="3">
      <x:c r="A3" s="24" t="str">
        <x:v>F1-D009</x:v>
      </x:c>
      <x:c r="B3" s="25" t="str">
        <x:v>F1-DR-009</x:v>
      </x:c>
      <x:c r="C3" s="25" t="str">
        <x:v>F1</x:v>
      </x:c>
      <x:c r="D3" s="160" t="str">
        <x:v>Handing not vector-confirmed</x:v>
      </x:c>
      <x:c r="E3" s="160" t="str">
        <x:v>Low</x:v>
      </x:c>
      <x:c r="F3" s="25" t="str">
        <x:v>Use deployment swing default; visually QA after placement.</x:v>
      </x:c>
      <x:c r="G3" s="26" t="str">
        <x:v>Nearest: F1-AAM (6.7 ft), F1-AAE (10.4 ft). | Graphic swing exists in schematic; exact hand/jamb not fully digitized in this pass.</x:v>
      </x:c>
    </x:row>
    <x:row r="4">
      <x:c r="A4" s="24" t="str">
        <x:v>F1-D011</x:v>
      </x:c>
      <x:c r="B4" s="25" t="str">
        <x:v>F1-DR-011</x:v>
      </x:c>
      <x:c r="C4" s="25" t="str">
        <x:v>F1</x:v>
      </x:c>
      <x:c r="D4" s="160" t="str">
        <x:v>Handing not vector-confirmed</x:v>
      </x:c>
      <x:c r="E4" s="160" t="str">
        <x:v>Low</x:v>
      </x:c>
      <x:c r="F4" s="25" t="str">
        <x:v>Use deployment swing default; visually QA after placement.</x:v>
      </x:c>
      <x:c r="G4" s="26" t="str">
        <x:v>Nearest: F1-AAL (3.6 ft), F1-AAM (6.9 ft). | Graphic swing exists in schematic; exact hand/jamb not fully digitized in this pass.</x:v>
      </x:c>
    </x:row>
    <x:row r="5">
      <x:c r="A5" s="24" t="str">
        <x:v>F1-D012</x:v>
      </x:c>
      <x:c r="B5" s="25" t="str">
        <x:v>F1-DR-012</x:v>
      </x:c>
      <x:c r="C5" s="25" t="str">
        <x:v>F1</x:v>
      </x:c>
      <x:c r="D5" s="160" t="str">
        <x:v>Handing not vector-confirmed</x:v>
      </x:c>
      <x:c r="E5" s="160" t="str">
        <x:v>Low</x:v>
      </x:c>
      <x:c r="F5" s="25" t="str">
        <x:v>Use deployment swing default; visually QA after placement.</x:v>
      </x:c>
      <x:c r="G5" s="26" t="str">
        <x:v>Nearest: F1-AAJ (7.6 ft), F1-AAK (8.4 ft). | Graphic swing exists in schematic; exact hand/jamb not fully digitized in this pass.</x:v>
      </x:c>
    </x:row>
    <x:row r="6">
      <x:c r="A6" s="24" t="str">
        <x:v>F1-D013</x:v>
      </x:c>
      <x:c r="B6" s="25" t="str">
        <x:v>F1-DR-013</x:v>
      </x:c>
      <x:c r="C6" s="25" t="str">
        <x:v>F1</x:v>
      </x:c>
      <x:c r="D6" s="160" t="str">
        <x:v>Handing not vector-confirmed</x:v>
      </x:c>
      <x:c r="E6" s="160" t="str">
        <x:v>Low</x:v>
      </x:c>
      <x:c r="F6" s="25" t="str">
        <x:v>Use deployment swing default; visually QA after placement.</x:v>
      </x:c>
      <x:c r="G6" s="26" t="str">
        <x:v>Nearest: F1-AAM (4.6 ft), F1-AAO (6.4 ft). | Graphic swing exists in schematic; exact hand/jamb not fully digitized in this pass.</x:v>
      </x:c>
    </x:row>
    <x:row r="7">
      <x:c r="A7" s="24" t="str">
        <x:v>F1-D014</x:v>
      </x:c>
      <x:c r="B7" s="25" t="str">
        <x:v>F1-DR-014</x:v>
      </x:c>
      <x:c r="C7" s="25" t="str">
        <x:v>F1</x:v>
      </x:c>
      <x:c r="D7" s="160" t="str">
        <x:v>Handing not vector-confirmed</x:v>
      </x:c>
      <x:c r="E7" s="160" t="str">
        <x:v>Low</x:v>
      </x:c>
      <x:c r="F7" s="25" t="str">
        <x:v>Use deployment swing default; visually QA after placement.</x:v>
      </x:c>
      <x:c r="G7" s="26" t="str">
        <x:v>Nearest: F1-AAO (2.7 ft), F1-AAM (8.6 ft). | Graphic swing exists in schematic; exact hand/jamb not fully digitized in this pass.</x:v>
      </x:c>
    </x:row>
    <x:row r="8">
      <x:c r="A8" s="24" t="str">
        <x:v>F1-D017</x:v>
      </x:c>
      <x:c r="B8" s="25" t="str">
        <x:v>F1-DR-017</x:v>
      </x:c>
      <x:c r="C8" s="25" t="str">
        <x:v>F1</x:v>
      </x:c>
      <x:c r="D8" s="160" t="str">
        <x:v>Handing not vector-confirmed</x:v>
      </x:c>
      <x:c r="E8" s="160" t="str">
        <x:v>Low</x:v>
      </x:c>
      <x:c r="F8" s="25" t="str">
        <x:v>Use deployment swing default; visually QA after placement.</x:v>
      </x:c>
      <x:c r="G8" s="26" t="str">
        <x:v>Nearest: F1-AAN (8.3 ft), F1-AAO (8.9 ft). | Graphic swing exists in schematic; exact hand/jamb not fully digitized in this pass.</x:v>
      </x:c>
    </x:row>
    <x:row r="9">
      <x:c r="A9" s="24" t="str">
        <x:v>F1-D018</x:v>
      </x:c>
      <x:c r="B9" s="25" t="str">
        <x:v>F1-DR-018</x:v>
      </x:c>
      <x:c r="C9" s="25" t="str">
        <x:v>F1</x:v>
      </x:c>
      <x:c r="D9" s="160" t="str">
        <x:v>Handing not vector-confirmed</x:v>
      </x:c>
      <x:c r="E9" s="160" t="str">
        <x:v>Low</x:v>
      </x:c>
      <x:c r="F9" s="25" t="str">
        <x:v>Use deployment swing default; visually QA after placement.</x:v>
      </x:c>
      <x:c r="G9" s="26" t="str">
        <x:v>Nearest: F1-AAQ (9.5 ft), F1-AAN (12.9 ft). Gemini ID/name conflict; master crosswalk controls F1-AAQ/F1-AAR/F1-AAS. | Graphic swing exists in schematic; exact hand/jamb not fully digitized in this pass.</x:v>
      </x:c>
    </x:row>
    <x:row r="10">
      <x:c r="A10" s="24" t="str">
        <x:v>F1-D021</x:v>
      </x:c>
      <x:c r="B10" s="25" t="str">
        <x:v>F1-DR-021</x:v>
      </x:c>
      <x:c r="C10" s="25" t="str">
        <x:v>F1</x:v>
      </x:c>
      <x:c r="D10" s="160" t="str">
        <x:v>Handing not vector-confirmed</x:v>
      </x:c>
      <x:c r="E10" s="160" t="str">
        <x:v>Low</x:v>
      </x:c>
      <x:c r="F10" s="25" t="str">
        <x:v>Use deployment swing default; visually QA after placement.</x:v>
      </x:c>
      <x:c r="G10" s="26" t="str">
        <x:v>Nearest: F1-AAP (6.3 ft), F1-AAQ (7.8 ft). Master crosswalk controls F1-AAQ/F1-AAR/F1-AAS. | Graphic swing exists in schematic; exact hand/jamb not fully digitized in this pass.</x:v>
      </x:c>
    </x:row>
    <x:row r="11">
      <x:c r="A11" s="24" t="str">
        <x:v>F1-D022</x:v>
      </x:c>
      <x:c r="B11" s="25" t="str">
        <x:v>F1-DR-022</x:v>
      </x:c>
      <x:c r="C11" s="25" t="str">
        <x:v>F1</x:v>
      </x:c>
      <x:c r="D11" s="160" t="str">
        <x:v>Handing not vector-confirmed</x:v>
      </x:c>
      <x:c r="E11" s="160" t="str">
        <x:v>Low</x:v>
      </x:c>
      <x:c r="F11" s="25" t="str">
        <x:v>Use deployment swing default; visually QA after placement.</x:v>
      </x:c>
      <x:c r="G11" s="26" t="str">
        <x:v>Nearest: F1-AAQ (1.0 ft), F1-AAP (11.9 ft). Gemini ID/name conflict; F1-AAQ = JAN. | Graphic swing exists in schematic; exact hand/jamb not fully digitized in this pass.</x:v>
      </x:c>
    </x:row>
    <x:row r="12">
      <x:c r="A12" s="24" t="str">
        <x:v>F1-D026</x:v>
      </x:c>
      <x:c r="B12" s="25" t="str">
        <x:v>F1-DR-026</x:v>
      </x:c>
      <x:c r="C12" s="25" t="str">
        <x:v>F1</x:v>
      </x:c>
      <x:c r="D12" s="160" t="str">
        <x:v>Handing not vector-confirmed</x:v>
      </x:c>
      <x:c r="E12" s="160" t="str">
        <x:v>Low</x:v>
      </x:c>
      <x:c r="F12" s="25" t="str">
        <x:v>Use deployment swing default; visually QA after placement.</x:v>
      </x:c>
      <x:c r="G12" s="26" t="str">
        <x:v>Nearest: F1-AAS (15.4 ft), F1-AAR (21.6 ft). F1-AAS = TESTING. | Graphic swing exists in schematic; exact hand/jamb not fully digitized in this pass.</x:v>
      </x:c>
    </x:row>
    <x:row r="13">
      <x:c r="A13" s="24" t="str">
        <x:v>F1-D028</x:v>
      </x:c>
      <x:c r="B13" s="25" t="str">
        <x:v>F1-DR-028</x:v>
      </x:c>
      <x:c r="C13" s="25" t="str">
        <x:v>F1</x:v>
      </x:c>
      <x:c r="D13" s="160" t="str">
        <x:v>Handing not vector-confirmed</x:v>
      </x:c>
      <x:c r="E13" s="160" t="str">
        <x:v>Low</x:v>
      </x:c>
      <x:c r="F13" s="25" t="str">
        <x:v>Use deployment swing default; visually QA after placement.</x:v>
      </x:c>
      <x:c r="G13" s="26" t="str">
        <x:v>Nearest: F1-AAW (68.0 ft), F1-AAI (104.3 ft). Verify against explicit high-bay door callout. | Graphic swing exists in schematic; exact hand/jamb not fully digitized in this pass.</x:v>
      </x:c>
    </x:row>
    <x:row r="14">
      <x:c r="A14" s="24" t="str">
        <x:v>F1-D030</x:v>
      </x:c>
      <x:c r="B14" s="25" t="str">
        <x:v>F1-DR-030</x:v>
      </x:c>
      <x:c r="C14" s="25" t="str">
        <x:v>F1</x:v>
      </x:c>
      <x:c r="D14" s="160" t="str">
        <x:v>Handing not vector-confirmed</x:v>
      </x:c>
      <x:c r="E14" s="160" t="str">
        <x:v>Low</x:v>
      </x:c>
      <x:c r="F14" s="25" t="str">
        <x:v>Use deployment swing default; visually QA after placement.</x:v>
      </x:c>
      <x:c r="G14" s="26" t="str">
        <x:v>Nearest: F1-AAW (82.5 ft), F1-AAV (138.4 ft). High-bay east/north-side candidate. | Graphic swing exists in schematic; exact hand/jamb not fully digitized in this pass.</x:v>
      </x:c>
    </x:row>
    <x:row r="15">
      <x:c r="A15" s="24" t="str">
        <x:v>F1-D032</x:v>
      </x:c>
      <x:c r="B15" s="25" t="str">
        <x:v>GEM-F1-EXT-02</x:v>
      </x:c>
      <x:c r="C15" s="25" t="str">
        <x:v>F1</x:v>
      </x:c>
      <x:c r="D15" s="160" t="str">
        <x:v>Simplified opening width</x:v>
      </x:c>
      <x:c r="E15" s="160" t="str">
        <x:v>Medium</x:v>
      </x:c>
      <x:c r="F15" s="25" t="str">
        <x:v>Retain 6 ft simplification unless user changes door-width rule.</x:v>
      </x:c>
      <x:c r="G15" s="26" t="str">
        <x:v>Gemini notes original opening may be larger/overhead; width retained as 6 ft per user simplification. Verify against explicit first-floor door note.</x:v>
      </x:c>
    </x:row>
    <x:row r="16">
      <x:c r="A16" s="24" t="str">
        <x:v>F1-D033</x:v>
      </x:c>
      <x:c r="B16" s="25" t="str">
        <x:v>GEM-F1-EXT-03</x:v>
      </x:c>
      <x:c r="C16" s="25" t="str">
        <x:v>F1</x:v>
      </x:c>
      <x:c r="D16" s="160" t="str">
        <x:v>Handing not vector-confirmed</x:v>
      </x:c>
      <x:c r="E16" s="160" t="str">
        <x:v>Low</x:v>
      </x:c>
      <x:c r="F16" s="25" t="str">
        <x:v>Use deployment swing default; visually QA after placement.</x:v>
      </x:c>
      <x:c r="G16" s="26" t="str">
        <x:v>Candidate not clearly represented in Claude rows except loading/high-bay cluster. | Graphic swing exists in schematic; exact hand/jamb not fully digitized in this pass.</x:v>
      </x:c>
    </x:row>
    <x:row r="17">
      <x:c r="A17" s="24" t="str">
        <x:v>F1-D034</x:v>
      </x:c>
      <x:c r="B17" s="25" t="str">
        <x:v>GEM-F1-COR-03</x:v>
      </x:c>
      <x:c r="C17" s="25" t="str">
        <x:v>F1</x:v>
      </x:c>
      <x:c r="D17" s="160" t="str">
        <x:v>Reference / blocked</x:v>
      </x:c>
      <x:c r="E17" s="160" t="str">
        <x:v>Non-blocking</x:v>
      </x:c>
      <x:c r="F17" s="25" t="str">
        <x:v>Do not generate in current build.</x:v>
      </x:c>
      <x:c r="G17" s="26" t="str">
        <x:v>Reference only unless sealed existing directive is changed. | Existing Tyler remains sealed/no-entry unless directive changes. | Existing Tyler remains sealed/no-entry in current deployment rules.</x:v>
      </x:c>
    </x:row>
    <x:row r="18">
      <x:c r="A18" s="24" t="str">
        <x:v>F2-D001</x:v>
      </x:c>
      <x:c r="B18" s="25" t="str">
        <x:v>F2-DR-001</x:v>
      </x:c>
      <x:c r="C18" s="25" t="str">
        <x:v>F2</x:v>
      </x:c>
      <x:c r="D18" s="160" t="str">
        <x:v>Handing not vector-confirmed</x:v>
      </x:c>
      <x:c r="E18" s="160" t="str">
        <x:v>Low</x:v>
      </x:c>
      <x:c r="F18" s="25" t="str">
        <x:v>Use deployment swing default; visually QA after placement.</x:v>
      </x:c>
      <x:c r="G18" s="26" t="str">
        <x:v>Nearest: F2-ABA (5.9 ft), F2-AAZ (8.3 ft). | Graphic swing exists in schematic; exact hand/jamb not fully digitized in this pass.</x:v>
      </x:c>
    </x:row>
    <x:row r="19">
      <x:c r="A19" s="24" t="str">
        <x:v>F2-D004</x:v>
      </x:c>
      <x:c r="B19" s="25" t="str">
        <x:v>F2-DR-004</x:v>
      </x:c>
      <x:c r="C19" s="25" t="str">
        <x:v>F2</x:v>
      </x:c>
      <x:c r="D19" s="160" t="str">
        <x:v>Handing not vector-confirmed</x:v>
      </x:c>
      <x:c r="E19" s="160" t="str">
        <x:v>Low</x:v>
      </x:c>
      <x:c r="F19" s="25" t="str">
        <x:v>Use deployment swing default; visually QA after placement.</x:v>
      </x:c>
      <x:c r="G19" s="26" t="str">
        <x:v>Nearest: F2-ABI (10.1 ft), F2-ABE (15.1 ft). | Graphic swing exists in schematic; exact hand/jamb not fully digitized in this pass.</x:v>
      </x:c>
    </x:row>
    <x:row r="20">
      <x:c r="A20" s="24" t="str">
        <x:v>F2-D005</x:v>
      </x:c>
      <x:c r="B20" s="25" t="str">
        <x:v>F2-DR-005</x:v>
      </x:c>
      <x:c r="C20" s="25" t="str">
        <x:v>F2</x:v>
      </x:c>
      <x:c r="D20" s="160" t="str">
        <x:v>Handing not vector-confirmed</x:v>
      </x:c>
      <x:c r="E20" s="160" t="str">
        <x:v>Low</x:v>
      </x:c>
      <x:c r="F20" s="25" t="str">
        <x:v>Use deployment swing default; visually QA after placement.</x:v>
      </x:c>
      <x:c r="G20" s="26" t="str">
        <x:v>Nearest: F2-ABA (5.9 ft), F2-ABF (17.5 ft). | Graphic swing exists in schematic; exact hand/jamb not fully digitized in this pass.</x:v>
      </x:c>
    </x:row>
    <x:row r="21">
      <x:c r="A21" s="24" t="str">
        <x:v>F2-D006</x:v>
      </x:c>
      <x:c r="B21" s="25" t="str">
        <x:v>F2-DR-006</x:v>
      </x:c>
      <x:c r="C21" s="25" t="str">
        <x:v>F2</x:v>
      </x:c>
      <x:c r="D21" s="160" t="str">
        <x:v>Handing not vector-confirmed</x:v>
      </x:c>
      <x:c r="E21" s="160" t="str">
        <x:v>Low</x:v>
      </x:c>
      <x:c r="F21" s="25" t="str">
        <x:v>Use deployment swing default; visually QA after placement.</x:v>
      </x:c>
      <x:c r="G21" s="26" t="str">
        <x:v>Nearest: F2-ABF (9.6 ft), F2-ABG (11.5 ft). | Graphic swing exists in schematic; exact hand/jamb not fully digitized in this pass.</x:v>
      </x:c>
    </x:row>
    <x:row r="22">
      <x:c r="A22" s="24" t="str">
        <x:v>F2-D007</x:v>
      </x:c>
      <x:c r="B22" s="25" t="str">
        <x:v>F2-DR-007</x:v>
      </x:c>
      <x:c r="C22" s="25" t="str">
        <x:v>F2</x:v>
      </x:c>
      <x:c r="D22" s="160" t="str">
        <x:v>Handing not vector-confirmed</x:v>
      </x:c>
      <x:c r="E22" s="160" t="str">
        <x:v>Low</x:v>
      </x:c>
      <x:c r="F22" s="25" t="str">
        <x:v>Use deployment swing default; visually QA after placement.</x:v>
      </x:c>
      <x:c r="G22" s="26" t="str">
        <x:v>Nearest: F2-ABI (7.6 ft), F2-ABJ (14.1 ft). | Graphic swing exists in schematic; exact hand/jamb not fully digitized in this pass.</x:v>
      </x:c>
    </x:row>
    <x:row r="23">
      <x:c r="A23" s="24" t="str">
        <x:v>F2-D008</x:v>
      </x:c>
      <x:c r="B23" s="25" t="str">
        <x:v>F2-DR-008</x:v>
      </x:c>
      <x:c r="C23" s="25" t="str">
        <x:v>F2</x:v>
      </x:c>
      <x:c r="D23" s="160" t="str">
        <x:v>Handing not vector-confirmed</x:v>
      </x:c>
      <x:c r="E23" s="160" t="str">
        <x:v>Low</x:v>
      </x:c>
      <x:c r="F23" s="25" t="str">
        <x:v>Use deployment swing default; visually QA after placement.</x:v>
      </x:c>
      <x:c r="G23" s="26" t="str">
        <x:v>Nearest: F2-ABG (1.7 ft), F2-ABH (5.6 ft). | Graphic swing exists in schematic; exact hand/jamb not fully digitized in this pass.</x:v>
      </x:c>
    </x:row>
    <x:row r="24">
      <x:c r="A24" s="24" t="str">
        <x:v>F2-D009</x:v>
      </x:c>
      <x:c r="B24" s="25" t="str">
        <x:v>F2-DR-009</x:v>
      </x:c>
      <x:c r="C24" s="25" t="str">
        <x:v>F2</x:v>
      </x:c>
      <x:c r="D24" s="160" t="str">
        <x:v>Handing not vector-confirmed</x:v>
      </x:c>
      <x:c r="E24" s="160" t="str">
        <x:v>Low</x:v>
      </x:c>
      <x:c r="F24" s="25" t="str">
        <x:v>Use deployment swing default; visually QA after placement.</x:v>
      </x:c>
      <x:c r="G24" s="26" t="str">
        <x:v>Nearest: F2-ABH (1.8 ft), F2-ABG (7.4 ft). | Graphic swing exists in schematic; exact hand/jamb not fully digitized in this pass.</x:v>
      </x:c>
    </x:row>
    <x:row r="25">
      <x:c r="A25" s="24" t="str">
        <x:v>F2-D010</x:v>
      </x:c>
      <x:c r="B25" s="25" t="str">
        <x:v>F2-DR-010</x:v>
      </x:c>
      <x:c r="C25" s="25" t="str">
        <x:v>F2</x:v>
      </x:c>
      <x:c r="D25" s="160" t="str">
        <x:v>Handing not vector-confirmed</x:v>
      </x:c>
      <x:c r="E25" s="160" t="str">
        <x:v>Low</x:v>
      </x:c>
      <x:c r="F25" s="25" t="str">
        <x:v>Use deployment swing default; visually QA after placement.</x:v>
      </x:c>
      <x:c r="G25" s="26" t="str">
        <x:v>Nearest: F2-ABI (5.0 ft), F2-ABJ (7.3 ft). | Graphic swing exists in schematic; exact hand/jamb not fully digitized in this pass.</x:v>
      </x:c>
    </x:row>
    <x:row r="26">
      <x:c r="A26" s="24" t="str">
        <x:v>F2-D011</x:v>
      </x:c>
      <x:c r="B26" s="25" t="str">
        <x:v>F2-DR-011</x:v>
      </x:c>
      <x:c r="C26" s="25" t="str">
        <x:v>F2</x:v>
      </x:c>
      <x:c r="D26" s="160" t="str">
        <x:v>Handing not vector-confirmed</x:v>
      </x:c>
      <x:c r="E26" s="160" t="str">
        <x:v>Low</x:v>
      </x:c>
      <x:c r="F26" s="25" t="str">
        <x:v>Use deployment swing default; visually QA after placement.</x:v>
      </x:c>
      <x:c r="G26" s="26" t="str">
        <x:v>Nearest: F2-ABF (8.9 ft), F2-ABL (15.8 ft). | Graphic swing exists in schematic; exact hand/jamb not fully digitized in this pass.</x:v>
      </x:c>
    </x:row>
    <x:row r="27">
      <x:c r="A27" s="24" t="str">
        <x:v>F2-D012</x:v>
      </x:c>
      <x:c r="B27" s="25" t="str">
        <x:v>F2-DR-012</x:v>
      </x:c>
      <x:c r="C27" s="25" t="str">
        <x:v>F2</x:v>
      </x:c>
      <x:c r="D27" s="160" t="str">
        <x:v>Handing not vector-confirmed</x:v>
      </x:c>
      <x:c r="E27" s="160" t="str">
        <x:v>Low</x:v>
      </x:c>
      <x:c r="F27" s="25" t="str">
        <x:v>Use deployment swing default; visually QA after placement.</x:v>
      </x:c>
      <x:c r="G27" s="26" t="str">
        <x:v>Nearest: F2-ABJ (4.1 ft), F2-ABI (8.9 ft). | Graphic swing exists in schematic; exact hand/jamb not fully digitized in this pass.</x:v>
      </x:c>
    </x:row>
    <x:row r="28">
      <x:c r="A28" s="24" t="str">
        <x:v>F2-D013</x:v>
      </x:c>
      <x:c r="B28" s="25" t="str">
        <x:v>F2-DR-013</x:v>
      </x:c>
      <x:c r="C28" s="25" t="str">
        <x:v>F2</x:v>
      </x:c>
      <x:c r="D28" s="160" t="str">
        <x:v>Handing not vector-confirmed</x:v>
      </x:c>
      <x:c r="E28" s="160" t="str">
        <x:v>Low</x:v>
      </x:c>
      <x:c r="F28" s="25" t="str">
        <x:v>Use deployment swing default; visually QA after placement.</x:v>
      </x:c>
      <x:c r="G28" s="26" t="str">
        <x:v>Nearest: F2-ABF (12.3 ft), F2-ABL (13.1 ft). | Graphic swing exists in schematic; exact hand/jamb not fully digitized in this pass.</x:v>
      </x:c>
    </x:row>
    <x:row r="29">
      <x:c r="A29" s="24" t="str">
        <x:v>F2-D014</x:v>
      </x:c>
      <x:c r="B29" s="25" t="str">
        <x:v>F2-DR-014</x:v>
      </x:c>
      <x:c r="C29" s="25" t="str">
        <x:v>F2</x:v>
      </x:c>
      <x:c r="D29" s="160" t="str">
        <x:v>Handing not vector-confirmed</x:v>
      </x:c>
      <x:c r="E29" s="160" t="str">
        <x:v>Low</x:v>
      </x:c>
      <x:c r="F29" s="25" t="str">
        <x:v>Use deployment swing default; visually QA after placement.</x:v>
      </x:c>
      <x:c r="G29" s="26" t="str">
        <x:v>Nearest: F2-ABJ (11.1 ft), F2-ABH (11.6 ft). | Graphic swing exists in schematic; exact hand/jamb not fully digitized in this pass.</x:v>
      </x:c>
    </x:row>
    <x:row r="30">
      <x:c r="A30" s="24" t="str">
        <x:v>F2-D015</x:v>
      </x:c>
      <x:c r="B30" s="25" t="str">
        <x:v>F2-DR-015</x:v>
      </x:c>
      <x:c r="C30" s="25" t="str">
        <x:v>F2</x:v>
      </x:c>
      <x:c r="D30" s="160" t="str">
        <x:v>Handing not vector-confirmed</x:v>
      </x:c>
      <x:c r="E30" s="160" t="str">
        <x:v>Low</x:v>
      </x:c>
      <x:c r="F30" s="25" t="str">
        <x:v>Use deployment swing default; visually QA after placement.</x:v>
      </x:c>
      <x:c r="G30" s="26" t="str">
        <x:v>Nearest: F2-ABN (7.4 ft), F2-ABM (9.2 ft). | Graphic swing exists in schematic; exact hand/jamb not fully digitized in this pass.</x:v>
      </x:c>
    </x:row>
    <x:row r="31">
      <x:c r="A31" s="24" t="str">
        <x:v>F2-D016</x:v>
      </x:c>
      <x:c r="B31" s="25" t="str">
        <x:v>F2-DR-016</x:v>
      </x:c>
      <x:c r="C31" s="25" t="str">
        <x:v>F2</x:v>
      </x:c>
      <x:c r="D31" s="160" t="str">
        <x:v>Handing not vector-confirmed</x:v>
      </x:c>
      <x:c r="E31" s="160" t="str">
        <x:v>Low</x:v>
      </x:c>
      <x:c r="F31" s="25" t="str">
        <x:v>Use deployment swing default; visually QA after placement.</x:v>
      </x:c>
      <x:c r="G31" s="26" t="str">
        <x:v>Nearest: F2-ABK (3.1 ft), F2-ABJ (9.3 ft). | Graphic swing exists in schematic; exact hand/jamb not fully digitized in this pass.</x:v>
      </x:c>
    </x:row>
    <x:row r="32">
      <x:c r="A32" s="24" t="str">
        <x:v>F2-D017</x:v>
      </x:c>
      <x:c r="B32" s="25" t="str">
        <x:v>F2-DR-017</x:v>
      </x:c>
      <x:c r="C32" s="25" t="str">
        <x:v>F2</x:v>
      </x:c>
      <x:c r="D32" s="160" t="str">
        <x:v>Handing not vector-confirmed</x:v>
      </x:c>
      <x:c r="E32" s="160" t="str">
        <x:v>Low</x:v>
      </x:c>
      <x:c r="F32" s="25" t="str">
        <x:v>Use deployment swing default; visually QA after placement.</x:v>
      </x:c>
      <x:c r="G32" s="26" t="str">
        <x:v>Nearest: F2-ABN (6.6 ft), F2-ABM (12.6 ft). | Graphic swing exists in schematic; exact hand/jamb not fully digitized in this pass.</x:v>
      </x:c>
    </x:row>
    <x:row r="33">
      <x:c r="A33" s="24" t="str">
        <x:v>F2-D018</x:v>
      </x:c>
      <x:c r="B33" s="25" t="str">
        <x:v>F2-DR-018</x:v>
      </x:c>
      <x:c r="C33" s="25" t="str">
        <x:v>F2</x:v>
      </x:c>
      <x:c r="D33" s="160" t="str">
        <x:v>Handing not vector-confirmed</x:v>
      </x:c>
      <x:c r="E33" s="160" t="str">
        <x:v>Low</x:v>
      </x:c>
      <x:c r="F33" s="25" t="str">
        <x:v>Use deployment swing default; visually QA after placement.</x:v>
      </x:c>
      <x:c r="G33" s="26" t="str">
        <x:v>Nearest: F2-ABR (8.5 ft), F2-ABS (9.6 ft). | Graphic swing exists in schematic; exact hand/jamb not fully digitized in this pass.</x:v>
      </x:c>
    </x:row>
    <x:row r="34">
      <x:c r="A34" s="24" t="str">
        <x:v>F2-D021</x:v>
      </x:c>
      <x:c r="B34" s="25" t="str">
        <x:v>F2-DR-021</x:v>
      </x:c>
      <x:c r="C34" s="25" t="str">
        <x:v>F2</x:v>
      </x:c>
      <x:c r="D34" s="160" t="str">
        <x:v>Handing not vector-confirmed</x:v>
      </x:c>
      <x:c r="E34" s="160" t="str">
        <x:v>Low</x:v>
      </x:c>
      <x:c r="F34" s="25" t="str">
        <x:v>Use deployment swing default; visually QA after placement.</x:v>
      </x:c>
      <x:c r="G34" s="26" t="str">
        <x:v>Nearest: F2-ABP (6.9 ft), F2-ABQ (11.9 ft). | Graphic swing exists in schematic; exact hand/jamb not fully digitized in this pass.</x:v>
      </x:c>
    </x:row>
    <x:row r="35">
      <x:c r="A35" s="24" t="str">
        <x:v>F2-D022</x:v>
      </x:c>
      <x:c r="B35" s="25" t="str">
        <x:v>F2-DR-022</x:v>
      </x:c>
      <x:c r="C35" s="25" t="str">
        <x:v>F2</x:v>
      </x:c>
      <x:c r="D35" s="160" t="str">
        <x:v>Handing not vector-confirmed</x:v>
      </x:c>
      <x:c r="E35" s="160" t="str">
        <x:v>Low</x:v>
      </x:c>
      <x:c r="F35" s="25" t="str">
        <x:v>Use deployment swing default; visually QA after placement.</x:v>
      </x:c>
      <x:c r="G35" s="26" t="str">
        <x:v>Nearest: F2-ABO (6.8 ft), F2-ABP (9.5 ft). | Graphic swing exists in schematic; exact hand/jamb not fully digitized in this pass.</x:v>
      </x:c>
    </x:row>
    <x:row r="36">
      <x:c r="A36" s="24" t="str">
        <x:v>F2-D024</x:v>
      </x:c>
      <x:c r="B36" s="25" t="str">
        <x:v>F2-DR-024</x:v>
      </x:c>
      <x:c r="C36" s="25" t="str">
        <x:v>F2</x:v>
      </x:c>
      <x:c r="D36" s="160" t="str">
        <x:v>Handing not vector-confirmed</x:v>
      </x:c>
      <x:c r="E36" s="160" t="str">
        <x:v>Low</x:v>
      </x:c>
      <x:c r="F36" s="25" t="str">
        <x:v>Use deployment swing default; visually QA after placement.</x:v>
      </x:c>
      <x:c r="G36" s="26" t="str">
        <x:v>Nearest: F2-ABO (12.2 ft), F2-ABT (16.2 ft). | Graphic swing exists in schematic; exact hand/jamb not fully digitized in this pass.</x:v>
      </x:c>
    </x:row>
    <x:row r="37">
      <x:c r="A37" s="24" t="str">
        <x:v>F2-D026</x:v>
      </x:c>
      <x:c r="B37" s="25" t="str">
        <x:v>F2-DR-026</x:v>
      </x:c>
      <x:c r="C37" s="25" t="str">
        <x:v>F2</x:v>
      </x:c>
      <x:c r="D37" s="160" t="str">
        <x:v>Handing not vector-confirmed</x:v>
      </x:c>
      <x:c r="E37" s="160" t="str">
        <x:v>Low</x:v>
      </x:c>
      <x:c r="F37" s="25" t="str">
        <x:v>Use deployment swing default; visually QA after placement.</x:v>
      </x:c>
      <x:c r="G37" s="26" t="str">
        <x:v>Nearest: F2-ABU (4.6 ft), F2-AAT (18.3 ft). F2-AAT = stair/opening only. | Graphic swing exists in schematic; exact hand/jamb not fully digitized in this pass. | F2-AAT is stair/slab opening context only; do not generate stair geometry.</x:v>
      </x:c>
    </x:row>
    <x:row r="38">
      <x:c r="A38" s="27" t="str">
        <x:v>F2-D027</x:v>
      </x:c>
      <x:c r="B38" s="28" t="str">
        <x:v>GEM-F2-COR-01</x:v>
      </x:c>
      <x:c r="C38" s="28" t="str">
        <x:v>F2</x:v>
      </x:c>
      <x:c r="D38" s="161" t="str">
        <x:v>Reference / blocked</x:v>
      </x:c>
      <x:c r="E38" s="161" t="str">
        <x:v>Non-blocking</x:v>
      </x:c>
      <x:c r="F38" s="28" t="str">
        <x:v>Do not generate in current build.</x:v>
      </x:c>
      <x:c r="G38" s="29" t="str">
        <x:v>Reference only unless sealed existing directive is changed. | Existing Tyler remains sealed/no-entry unless directive changes. | Existing Tyler remains sealed/no-entry in current deployment rules.</x:v>
      </x:c>
    </x:row>
  </x:sheetData>
  <x:pageMargins left="0.7" right="0.7" top="0.75" bottom="0.75" header="0.3" footer="0.3"/>
  <x:tableParts count="1">
    <x:tablePart xmlns:r="http://schemas.openxmlformats.org/officeDocument/2006/relationships" r:id="R5e454eceb51c433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24" hidden="0" customWidth="1"/>
    <x:col min="4" max="4" width="60" hidden="0" customWidth="1"/>
  </x:cols>
  <x:sheetData>
    <x:row r="1">
      <x:c r="A1" s="70" t="str">
        <x:v>Category</x:v>
      </x:c>
      <x:c r="B1" s="71" t="str">
        <x:v>Rule / Standard</x:v>
      </x:c>
      <x:c r="C1" s="71" t="str">
        <x:v>Classification</x:v>
      </x:c>
      <x:c r="D1" s="72" t="str">
        <x:v>Deployment Notes</x:v>
      </x:c>
    </x:row>
    <x:row r="2">
      <x:c r="A2" s="24" t="str">
        <x:v>Model purpose</x:v>
      </x:c>
      <x:c r="B2" s="25" t="str">
        <x:v>Door schedule is deploy-ready for a lightweight 1:1 spatial review model, not a construction-document or hardware-submittal set.</x:v>
      </x:c>
      <x:c r="C2" s="25" t="str">
        <x:v>SOURCE-SUPPORTED / USER-DIRECTED</x:v>
      </x:c>
      <x:c r="D2" s="26" t="str">
        <x:v>Use for first-pass build in Spatial/3D environment; visually QA in model.</x:v>
      </x:c>
    </x:row>
    <x:row r="3">
      <x:c r="A3" s="24" t="str">
        <x:v>Door material</x:v>
      </x:c>
      <x:c r="B3" s="25" t="str">
        <x:v>Default doors remain glass except restroom doors, which are solid wood for privacy.</x:v>
      </x:c>
      <x:c r="C3" s="25" t="str">
        <x:v>USER-DIRECTED</x:v>
      </x:c>
      <x:c r="D3" s="26" t="str">
        <x:v>Door_Material remains Glass for most rows; RR rows use warm light solid wood matching existing-building wood trim/casing photos.</x:v>
      </x:c>
    </x:row>
    <x:row r="4">
      <x:c r="A4" s="24" t="str">
        <x:v>Door widths</x:v>
      </x:c>
      <x:c r="B4" s="25" t="str">
        <x:v>Simplify all door/doorway widths to 3 ft or 6 ft.</x:v>
      </x:c>
      <x:c r="C4" s="25" t="str">
        <x:v>USER-DIRECTED</x:v>
      </x:c>
      <x:c r="D4" s="26" t="str">
        <x:v>3 ft = single leaf; 6 ft = double/pair/corridor/service opening.</x:v>
      </x:c>
    </x:row>
    <x:row r="5">
      <x:c r="A5" s="24" t="str">
        <x:v>Door heights</x:v>
      </x:c>
      <x:c r="B5" s="25" t="str">
        <x:v>Interior/corridor/stair/reference doors = 7 ft; exterior/high-bay/service/main entrance doors = 8 ft.</x:v>
      </x:c>
      <x:c r="C5" s="25" t="str">
        <x:v>WORKING MODEL RULE</x:v>
      </x:c>
      <x:c r="D5" s="26" t="str">
        <x:v>Derived from current v2.4 workbook structure.</x:v>
      </x:c>
    </x:row>
    <x:row r="6">
      <x:c r="A6" s="24" t="str">
        <x:v>Coordinates</x:v>
      </x:c>
      <x:c r="B6" s="25" t="str">
        <x:v>Grid coordinates are primary; Feet_X/Y = Grid_X/Y x 8.</x:v>
      </x:c>
      <x:c r="C6" s="25" t="str">
        <x:v>SOURCE-SUPPORTED / USER-DIRECTED</x:v>
      </x:c>
      <x:c r="D6" s="26" t="str">
        <x:v>1 grid unit = 8 ft per prior master schedule normalization.</x:v>
      </x:c>
    </x:row>
    <x:row r="7">
      <x:c r="A7" s="24" t="str">
        <x:v>Interior walls</x:v>
      </x:c>
      <x:c r="B7" s="25" t="str">
        <x:v>Interior walls are 5 inches thick = 0.4167 ft.</x:v>
      </x:c>
      <x:c r="C7" s="25" t="str">
        <x:v>USER-DIRECTED</x:v>
      </x:c>
      <x:c r="D7" s="26" t="str">
        <x:v>Used for later placement clearances.</x:v>
      </x:c>
    </x:row>
    <x:row r="8">
      <x:c r="A8" s="24" t="str">
        <x:v>Exterior walls</x:v>
      </x:c>
      <x:c r="B8" s="25" t="str">
        <x:v>Exterior walls are 12 inches thick = 1.0000 ft.</x:v>
      </x:c>
      <x:c r="C8" s="25" t="str">
        <x:v>USER-DIRECTED</x:v>
      </x:c>
      <x:c r="D8" s="26" t="str">
        <x:v>Used for later placement clearances.</x:v>
      </x:c>
    </x:row>
    <x:row r="9">
      <x:c r="A9" s="24" t="str">
        <x:v>Existing Tyler connectors</x:v>
      </x:c>
      <x:c r="B9" s="25" t="str">
        <x:v>Existing-connect rows remain reference/blocked.</x:v>
      </x:c>
      <x:c r="C9" s="25" t="str">
        <x:v>USER-DIRECTED</x:v>
      </x:c>
      <x:c r="D9" s="26" t="str">
        <x:v>Do not generate unless sealed-existing directive changes.</x:v>
      </x:c>
    </x:row>
    <x:row r="10">
      <x:c r="A10" s="24" t="str">
        <x:v>Stairs</x:v>
      </x:c>
      <x:c r="B10" s="25" t="str">
        <x:v>Do not generate stairs from the door schedule. Preserve opening/cutout only.</x:v>
      </x:c>
      <x:c r="C10" s="25" t="str">
        <x:v>USER-DIRECTED</x:v>
      </x:c>
      <x:c r="D10" s="26" t="str">
        <x:v>F2-AAT and related stair/lobby markers are opening context only.</x:v>
      </x:c>
    </x:row>
    <x:row r="11">
      <x:c r="A11" s="27" t="str">
        <x:v>Handing</x:v>
      </x:c>
      <x:c r="B11" s="28" t="str">
        <x:v>Only explicitly confirmed handing row is preserved; others use deployment defaults and visual QA.</x:v>
      </x:c>
      <x:c r="C11" s="28" t="str">
        <x:v>WORKING MODEL RULE</x:v>
      </x:c>
      <x:c r="D11" s="29" t="str">
        <x:v>Exact LH/RH hardware handings are not required for first-pass spatial review deployment.</x:v>
      </x:c>
    </x:row>
    <x:row r="12">
      <x:c r="A12" t="str">
        <x:v>Restroom doors</x:v>
      </x:c>
      <x:c r="B12" t="str">
        <x:v>Restroom doors use solid wood, warm light wood color matching existing building woodwork.</x:v>
      </x:c>
      <x:c r="C12" t="str">
        <x:v>USER-DIRECTED</x:v>
      </x:c>
      <x:c r="D12" t="str">
        <x:v>Applies to F1-D010, F1-D011, and F1-D017; preserves privacy while keeping lobby/connector glass language elsewhere.</x:v>
      </x:c>
    </x:row>
  </x:sheetData>
  <x:pageMargins left="0.7" right="0.7" top="0.75" bottom="0.75" header="0.3" footer="0.3"/>
  <x:tableParts count="1">
    <x:tablePart xmlns:r="http://schemas.openxmlformats.org/officeDocument/2006/relationships" r:id="Redbe89c47e5347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24" hidden="0" customWidth="1"/>
    <x:col min="4" max="4" width="60" hidden="0" customWidth="1"/>
  </x:cols>
  <x:sheetData>
    <x:row r="1">
      <x:c r="A1" s="70" t="str">
        <x:v>Source_ID</x:v>
      </x:c>
      <x:c r="B1" s="71" t="str">
        <x:v>File / Source</x:v>
      </x:c>
      <x:c r="C1" s="71" t="str">
        <x:v>Role in Door Schedule</x:v>
      </x:c>
      <x:c r="D1" s="72" t="str">
        <x:v>Notes</x:v>
      </x:c>
    </x:row>
    <x:row r="2">
      <x:c r="A2" s="24" t="str">
        <x:v>SRC-D001</x:v>
      </x:c>
      <x:c r="B2" s="25" t="str">
        <x:v>NIMA_Final_Door_Schedule_v2_4_Glass_Swing_Centerpoints(1).xlsx</x:v>
      </x:c>
      <x:c r="C2" s="25" t="str">
        <x:v>Base consolidated door schedule</x:v>
      </x:c>
      <x:c r="D2" s="26" t="str">
        <x:v>Imported as the working source for v3.0 deployment package.</x:v>
      </x:c>
    </x:row>
    <x:row r="3">
      <x:c r="A3" s="24" t="str">
        <x:v>SRC-D002</x:v>
      </x:c>
      <x:c r="B3" s="25" t="str">
        <x:v>NIMA Build First Floor With Grid Schematic(3).svg</x:v>
      </x:c>
      <x:c r="C3" s="25" t="str">
        <x:v>First-floor visual door/doorway context</x:v>
      </x:c>
      <x:c r="D3" s="26" t="str">
        <x:v>Door swings/openings are portrayed graphically; exact hardware handing not tagged for every row.</x:v>
      </x:c>
    </x:row>
    <x:row r="4">
      <x:c r="A4" s="24" t="str">
        <x:v>SRC-D003</x:v>
      </x:c>
      <x:c r="B4" s="25" t="str">
        <x:v>NIMA Build Second Floor With Grid Schematic(3).svg</x:v>
      </x:c>
      <x:c r="C4" s="25" t="str">
        <x:v>Second-floor visual door/doorway context</x:v>
      </x:c>
      <x:c r="D4" s="26" t="str">
        <x:v>Stair/lobby and high-bay overlook markers preserved; no stairs generated.</x:v>
      </x:c>
    </x:row>
    <x:row r="5">
      <x:c r="A5" s="24" t="str">
        <x:v>SRC-D004</x:v>
      </x:c>
      <x:c r="B5" s="25" t="str">
        <x:v>PSU_Tyler_SchematicDesign_202004 05 03[30]-4(4).pdf</x:v>
      </x:c>
      <x:c r="C5" s="25" t="str">
        <x:v>Room/program naming context</x:v>
      </x:c>
      <x:c r="D5" s="26" t="str">
        <x:v>First- and second-floor room names/areas and high-bay/overlook context.</x:v>
      </x:c>
    </x:row>
    <x:row r="6">
      <x:c r="A6" s="24" t="str">
        <x:v>SRC-D005</x:v>
      </x:c>
      <x:c r="B6" s="25" t="str">
        <x:v>Pasted markdown.md / prior-chat context</x:v>
      </x:c>
      <x:c r="C6" s="25" t="str">
        <x:v>User constraints and Gemini comparison table</x:v>
      </x:c>
      <x:c r="D6" s="26" t="str">
        <x:v>3 ft / 6 ft widths, generic markers, all-glass requirement, and prior AI comparison layer.</x:v>
      </x:c>
    </x:row>
    <x:row r="7">
      <x:c r="A7" s="27" t="str">
        <x:v>SRC-D006</x:v>
      </x:c>
      <x:c r="B7" s="28" t="str">
        <x:v>Pasted text-2.txt / master schedule context</x:v>
      </x:c>
      <x:c r="C7" s="28" t="str">
        <x:v>Master rules and blockers</x:v>
      </x:c>
      <x:c r="D7" s="29" t="str">
        <x:v>Includes source hierarchy, grid conversion, sealed existing, stair-opening-only, and wall-thickness updates.</x:v>
      </x:c>
    </x:row>
  </x:sheetData>
  <x:pageMargins left="0.7" right="0.7" top="0.75" bottom="0.75" header="0.3" footer="0.3"/>
  <x:tableParts count="1">
    <x:tablePart xmlns:r="http://schemas.openxmlformats.org/officeDocument/2006/relationships" r:id="Rf9c26f5288f044d6"/>
  </x:tableParts>
</x:worksheet>
</file>